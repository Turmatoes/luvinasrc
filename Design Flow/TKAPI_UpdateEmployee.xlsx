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web-practice-design\TKAPI\"/>
    </mc:Choice>
  </mc:AlternateContent>
  <xr:revisionPtr revIDLastSave="0" documentId="13_ncr:1_{CEEB521A-71D2-49C1-BA5F-2C940E676123}" xr6:coauthVersionLast="47" xr6:coauthVersionMax="47" xr10:uidLastSave="{00000000-0000-0000-0000-000000000000}"/>
  <bookViews>
    <workbookView xWindow="-25920" yWindow="660" windowWidth="21600" windowHeight="11295" xr2:uid="{00000000-000D-0000-FFFF-FFFF00000000}"/>
  </bookViews>
  <sheets>
    <sheet name="Bìa" sheetId="6" r:id="rId1"/>
    <sheet name="Lịch sử thay đổi" sheetId="3" r:id="rId2"/>
    <sheet name="Khái quát" sheetId="1" r:id="rId3"/>
    <sheet name="Flow xử lý" sheetId="4" r:id="rId4"/>
    <sheet name="Chi tiết xử lý" sheetId="2" r:id="rId5"/>
    <sheet name="Tham chiếu" sheetId="7" r:id="rId6"/>
  </sheets>
  <definedNames>
    <definedName name="_xlnm.Print_Area" localSheetId="0">Bìa!$A$1:$BK$56</definedName>
    <definedName name="_xlnm.Print_Area" localSheetId="4">'Chi tiết xử lý'!$A$1:$BK$133</definedName>
    <definedName name="_xlnm.Print_Area" localSheetId="3">'Flow xử lý'!$A$1:$BK$50</definedName>
    <definedName name="_xlnm.Print_Area" localSheetId="2">'Khái quát'!$A$1:$BK$76</definedName>
    <definedName name="_xlnm.Print_Area" localSheetId="1">'Lịch sử thay đổi'!$A$1:$BK$63</definedName>
    <definedName name="_xlnm.Print_Area" localSheetId="5">'Tham chiếu'!$A$1:$BK$27</definedName>
    <definedName name="_xlnm.Print_Titles" localSheetId="0">Bìa!$1:$5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6" l="1"/>
  <c r="BC2" i="6"/>
  <c r="AY2" i="6"/>
  <c r="Z4" i="7" l="1"/>
  <c r="H4" i="7"/>
  <c r="BH2" i="7"/>
  <c r="BC2" i="7"/>
  <c r="AY2" i="7"/>
  <c r="AT2" i="7"/>
  <c r="AP2" i="7"/>
  <c r="K2" i="7"/>
  <c r="A2" i="7"/>
  <c r="W1" i="7"/>
  <c r="H4" i="2" l="1"/>
  <c r="Z4" i="2" l="1"/>
  <c r="BH2" i="2"/>
  <c r="BC2" i="2"/>
  <c r="AY2" i="2"/>
  <c r="AT2" i="2"/>
  <c r="AP2" i="2"/>
  <c r="K2" i="2"/>
  <c r="A2" i="2"/>
  <c r="W1" i="2"/>
  <c r="Z4" i="4"/>
  <c r="H4" i="4"/>
  <c r="BH2" i="4"/>
  <c r="BC2" i="4"/>
  <c r="AY2" i="4"/>
  <c r="AT2" i="4"/>
  <c r="AP2" i="4"/>
  <c r="K2" i="4"/>
  <c r="A2" i="4"/>
  <c r="W1" i="4"/>
  <c r="Z4" i="1"/>
  <c r="W14" i="1" s="1"/>
  <c r="BH2" i="1"/>
  <c r="BC2" i="1"/>
  <c r="AY2" i="1"/>
  <c r="AT2" i="1"/>
  <c r="AP2" i="1"/>
  <c r="K2" i="1"/>
  <c r="A2" i="1"/>
  <c r="W1" i="1"/>
  <c r="Z4" i="3"/>
  <c r="H4" i="3"/>
  <c r="BH2" i="3"/>
  <c r="BC2" i="3"/>
  <c r="AY2" i="3"/>
  <c r="AT2" i="3"/>
  <c r="AP2" i="3"/>
  <c r="K2" i="3"/>
  <c r="A2" i="3"/>
  <c r="W1" i="3"/>
  <c r="L24" i="6"/>
</calcChain>
</file>

<file path=xl/sharedStrings.xml><?xml version="1.0" encoding="utf-8"?>
<sst xmlns="http://schemas.openxmlformats.org/spreadsheetml/2006/main" count="401" uniqueCount="248">
  <si>
    <r>
      <rPr>
        <b/>
        <sz val="11"/>
        <color rgb="FFFFFFFF"/>
        <rFont val="メイリオ"/>
        <family val="3"/>
      </rPr>
      <t>Date</t>
    </r>
  </si>
  <si>
    <r>
      <rPr>
        <b/>
        <sz val="11"/>
        <color rgb="FFFFFFFF"/>
        <rFont val="メイリオ"/>
        <family val="3"/>
      </rPr>
      <t>Người update</t>
    </r>
  </si>
  <si>
    <r>
      <rPr>
        <sz val="11"/>
        <color rgb="FFFFFFFF"/>
        <rFont val="Meiryo UI"/>
        <family val="3"/>
      </rPr>
      <t>Version</t>
    </r>
  </si>
  <si>
    <r>
      <rPr>
        <sz val="11"/>
        <color rgb="FF000000"/>
        <rFont val="Meiryo UI"/>
        <family val="3"/>
      </rPr>
      <t>Lịch sử thay đổi</t>
    </r>
  </si>
  <si>
    <r>
      <rPr>
        <sz val="11"/>
        <color rgb="FF000000"/>
        <rFont val="Meiryo UI"/>
        <family val="3"/>
      </rPr>
      <t>■Lịch sử thay đổi</t>
    </r>
  </si>
  <si>
    <r>
      <rPr>
        <b/>
        <sz val="11"/>
        <color rgb="FFFFFFFF"/>
        <rFont val="メイリオ"/>
        <family val="3"/>
      </rPr>
      <t>Version</t>
    </r>
  </si>
  <si>
    <r>
      <rPr>
        <b/>
        <sz val="11"/>
        <color rgb="FFFFFFFF"/>
        <rFont val="メイリオ"/>
        <family val="3"/>
      </rPr>
      <t>Nội dung thay đổi</t>
    </r>
  </si>
  <si>
    <r>
      <rPr>
        <b/>
        <sz val="11"/>
        <color rgb="FF000000"/>
        <rFont val="Meiryo UI"/>
        <family val="3"/>
      </rPr>
      <t>1.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Khái quát</t>
    </r>
  </si>
  <si>
    <r>
      <rPr>
        <b/>
        <sz val="11"/>
        <color rgb="FF000000"/>
        <rFont val="Meiryo UI"/>
        <family val="3"/>
      </rPr>
      <t>Request URL</t>
    </r>
  </si>
  <si>
    <r>
      <rPr>
        <b/>
        <sz val="11"/>
        <color rgb="FF000000"/>
        <rFont val="Meiryo UI"/>
        <family val="3"/>
      </rPr>
      <t>Method HTTP</t>
    </r>
  </si>
  <si>
    <r>
      <rPr>
        <b/>
        <sz val="11"/>
        <color rgb="FF000000"/>
        <rFont val="Meiryo UI"/>
        <family val="3"/>
      </rPr>
      <t>Request Parameter</t>
    </r>
  </si>
  <si>
    <r>
      <rPr>
        <b/>
        <sz val="11"/>
        <color rgb="FF000000"/>
        <rFont val="Meiryo UI"/>
        <family val="3"/>
      </rPr>
      <t xml:space="preserve">Parameter </t>
    </r>
  </si>
  <si>
    <r>
      <rPr>
        <b/>
        <sz val="11"/>
        <color rgb="FF000000"/>
        <rFont val="Meiryo UI"/>
        <family val="3"/>
      </rPr>
      <t>Bắt buộc</t>
    </r>
  </si>
  <si>
    <r>
      <rPr>
        <b/>
        <sz val="11"/>
        <color rgb="FF000000"/>
        <rFont val="Meiryo UI"/>
        <family val="3"/>
      </rPr>
      <t>Giá trị default</t>
    </r>
  </si>
  <si>
    <r>
      <rPr>
        <b/>
        <sz val="11"/>
        <color rgb="FF000000"/>
        <rFont val="Meiryo UI"/>
        <family val="3"/>
      </rPr>
      <t>3.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Response</t>
    </r>
  </si>
  <si>
    <r>
      <rPr>
        <sz val="11"/>
        <color rgb="FF000000"/>
        <rFont val="Meiryo UI"/>
        <family val="3"/>
      </rPr>
      <t>Khái quát</t>
    </r>
  </si>
  <si>
    <r>
      <rPr>
        <sz val="11"/>
        <color rgb="FF000000"/>
        <rFont val="Meiryo UI"/>
        <family val="3"/>
      </rPr>
      <t>Flow xử lý</t>
    </r>
  </si>
  <si>
    <r>
      <rPr>
        <sz val="11"/>
        <color rgb="FFFFFFFF"/>
        <rFont val="Meiryo UI"/>
        <family val="3"/>
      </rPr>
      <t>Category chức năng</t>
    </r>
  </si>
  <si>
    <r>
      <rPr>
        <sz val="11"/>
        <color rgb="FFFFFFFF"/>
        <rFont val="Meiryo UI"/>
        <family val="3"/>
      </rPr>
      <t>Người tạo</t>
    </r>
  </si>
  <si>
    <r>
      <rPr>
        <sz val="11"/>
        <color rgb="FFFFFFFF"/>
        <rFont val="Meiryo UI"/>
        <family val="3"/>
      </rPr>
      <t>Ngày tạo</t>
    </r>
  </si>
  <si>
    <r>
      <rPr>
        <sz val="11"/>
        <color rgb="FFFFFFFF"/>
        <rFont val="Meiryo UI"/>
        <family val="3"/>
      </rPr>
      <t>Người update</t>
    </r>
  </si>
  <si>
    <r>
      <rPr>
        <sz val="11"/>
        <color rgb="FFFFFFFF"/>
        <rFont val="Meiryo UI"/>
        <family val="3"/>
      </rPr>
      <t>Ngày update</t>
    </r>
  </si>
  <si>
    <r>
      <rPr>
        <sz val="11"/>
        <color rgb="FFFFFFFF"/>
        <rFont val="Meiryo UI"/>
        <family val="3"/>
      </rPr>
      <t>Hạng mục</t>
    </r>
  </si>
  <si>
    <r>
      <rPr>
        <sz val="11"/>
        <color rgb="FF000000"/>
        <rFont val="Meiryo UI"/>
        <family val="3"/>
      </rPr>
      <t>Bìa</t>
    </r>
  </si>
  <si>
    <r>
      <rPr>
        <sz val="18"/>
        <color rgb="FF000000"/>
        <rFont val="Meiryo UI"/>
        <family val="3"/>
      </rPr>
      <t>TKCB</t>
    </r>
  </si>
  <si>
    <r>
      <rPr>
        <sz val="11"/>
        <color rgb="FFFFFFFF"/>
        <rFont val="Meiryo UI"/>
        <family val="3"/>
      </rPr>
      <t>Tên system</t>
    </r>
  </si>
  <si>
    <r>
      <rPr>
        <sz val="11"/>
        <color rgb="FFFFFFFF"/>
        <rFont val="Meiryo UI"/>
        <family val="3"/>
      </rPr>
      <t>Loại system</t>
    </r>
  </si>
  <si>
    <r>
      <rPr>
        <b/>
        <sz val="11"/>
        <color rgb="FF000000"/>
        <rFont val="Meiryo UI"/>
        <family val="3"/>
      </rPr>
      <t>No.</t>
    </r>
    <r>
      <rPr>
        <b/>
        <sz val="11"/>
        <color rgb="FF000000"/>
        <rFont val="Meiryo UI"/>
        <family val="3"/>
      </rPr>
      <t xml:space="preserve"> </t>
    </r>
  </si>
  <si>
    <r>
      <rPr>
        <b/>
        <sz val="11"/>
        <color rgb="FF000000"/>
        <rFont val="Meiryo UI"/>
        <family val="3"/>
      </rPr>
      <t>Note</t>
    </r>
  </si>
  <si>
    <r>
      <rPr>
        <b/>
        <sz val="11"/>
        <color rgb="FF000000"/>
        <rFont val="Meiryo UI"/>
        <family val="3"/>
      </rPr>
      <t>Kiểu</t>
    </r>
  </si>
  <si>
    <r>
      <rPr>
        <b/>
        <sz val="11"/>
        <color rgb="FF000000"/>
        <rFont val="Meiryo UI"/>
        <family val="3"/>
      </rPr>
      <t>Tên hạng mục</t>
    </r>
  </si>
  <si>
    <t>Tạo mới tài liệu</t>
    <phoneticPr fontId="19"/>
  </si>
  <si>
    <t>2. Request</t>
    <phoneticPr fontId="19"/>
  </si>
  <si>
    <t>json key name</t>
    <phoneticPr fontId="19"/>
  </si>
  <si>
    <t>number</t>
    <phoneticPr fontId="19"/>
  </si>
  <si>
    <t>-</t>
    <phoneticPr fontId="19"/>
  </si>
  <si>
    <t>{}</t>
    <phoneticPr fontId="19"/>
  </si>
  <si>
    <t>Service</t>
  </si>
  <si>
    <t>API name</t>
  </si>
  <si>
    <t xml:space="preserve"> - Kết thúc xử lý</t>
    <phoneticPr fontId="19"/>
  </si>
  <si>
    <t>Ngày phê chuẩn</t>
  </si>
  <si>
    <t>Người phê chuẩn</t>
  </si>
  <si>
    <t>Version</t>
  </si>
  <si>
    <t>string</t>
  </si>
  <si>
    <t xml:space="preserve">                                                                                      </t>
  </si>
  <si>
    <t xml:space="preserve">{                                                                                     </t>
  </si>
  <si>
    <t xml:space="preserve">}                                                                                     </t>
  </si>
  <si>
    <t>※Sample</t>
  </si>
  <si>
    <t xml:space="preserve">No. </t>
  </si>
  <si>
    <t>Kiểu</t>
  </si>
  <si>
    <t>Tên hạng mục</t>
  </si>
  <si>
    <t>Note</t>
  </si>
  <si>
    <t xml:space="preserve">  {</t>
  </si>
  <si>
    <t xml:space="preserve">  }</t>
  </si>
  <si>
    <t>&lt;Không có&gt;</t>
  </si>
  <si>
    <t>-</t>
  </si>
  <si>
    <t>Key</t>
  </si>
  <si>
    <t>Giá trị</t>
  </si>
  <si>
    <t>key</t>
  </si>
  <si>
    <t>value</t>
  </si>
  <si>
    <t>Xử lý common:</t>
  </si>
  <si>
    <t>Xử lý chi tiết:</t>
  </si>
  <si>
    <t>department_id</t>
  </si>
  <si>
    <t>Tham chiếu</t>
  </si>
  <si>
    <t>Danh sách tài liệu tham chiếu</t>
  </si>
  <si>
    <t>No.</t>
  </si>
  <si>
    <t>Mã tham chiếu</t>
  </si>
  <si>
    <t>Tài liệu tham chiếu</t>
  </si>
  <si>
    <t>■Danh sách bảng sử dụng</t>
  </si>
  <si>
    <t>No</t>
  </si>
  <si>
    <t>Tên bảng logic</t>
  </si>
  <si>
    <t>ID bảng vật lý</t>
  </si>
  <si>
    <t>Create</t>
  </si>
  <si>
    <t>Refer</t>
  </si>
  <si>
    <t>Update</t>
  </si>
  <si>
    <t>Xóa</t>
  </si>
  <si>
    <t>〇</t>
  </si>
  <si>
    <t>■Table access</t>
  </si>
  <si>
    <t>Tên bảng</t>
  </si>
  <si>
    <t>Alias</t>
  </si>
  <si>
    <t>Tên trường</t>
  </si>
  <si>
    <t>①</t>
  </si>
  <si>
    <t>Manager User</t>
  </si>
  <si>
    <t>ThanhPD</t>
  </si>
  <si>
    <t>Trường hợp api trả về lỗi</t>
  </si>
  <si>
    <t>Trường hợp api trả về response bình thường</t>
  </si>
  <si>
    <t>end_date</t>
  </si>
  <si>
    <t>score</t>
  </si>
  <si>
    <t>Tên system</t>
  </si>
  <si>
    <t>Loại system</t>
  </si>
  <si>
    <t>Người tạo</t>
  </si>
  <si>
    <t>Ngày tạo</t>
  </si>
  <si>
    <t>Người update</t>
  </si>
  <si>
    <t>Ngày update</t>
  </si>
  <si>
    <t>Category chức năng</t>
  </si>
  <si>
    <t>Hạng mục</t>
  </si>
  <si>
    <t>Chi tiết xử lý</t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</si>
  <si>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không có lỗi xảy ra: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</si>
  <si>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có lỗi xảy ra</t>
    </r>
  </si>
  <si>
    <t>employee</t>
  </si>
  <si>
    <t>giá trị hạng mục</t>
  </si>
  <si>
    <t xml:space="preserve">Lưu vào table employees
</t>
  </si>
  <si>
    <t>certifications</t>
  </si>
  <si>
    <t>{}</t>
  </si>
  <si>
    <t xml:space="preserve">Lưu vào table employees_certifications
</t>
  </si>
  <si>
    <t xml:space="preserve">        "employeeName": "Nguyễn Văn A",                                                                                     </t>
  </si>
  <si>
    <t xml:space="preserve">        "employeeBirthDate": "1983/01/01",                                                                                      </t>
  </si>
  <si>
    <t xml:space="preserve">        "employeeEmail": "nguyenvana@luvina.net",                                                                                      </t>
  </si>
  <si>
    <t xml:space="preserve">        "employeeTelephone": "01234567",                                                                                     </t>
  </si>
  <si>
    <t xml:space="preserve">        "employeeNameKana": "01234567",                                                                                     </t>
  </si>
  <si>
    <t xml:space="preserve">        "employeeLoginId": "01234567",                                                                                     </t>
  </si>
  <si>
    <t xml:space="preserve">        "employeeLoginPassword": "01234567",                                                                                     </t>
  </si>
  <si>
    <t xml:space="preserve">        "departmentId": "1",                                                                                     </t>
  </si>
  <si>
    <t>{</t>
  </si>
  <si>
    <t xml:space="preserve">      "certificationId": "1",</t>
  </si>
  <si>
    <t>}</t>
  </si>
  <si>
    <t>employeeId</t>
  </si>
  <si>
    <t xml:space="preserve">    "employeeId": "1",                                                                                      </t>
  </si>
  <si>
    <t>Thông tin nhân viên</t>
  </si>
  <si>
    <t>employees</t>
  </si>
  <si>
    <t>employee_id</t>
  </si>
  <si>
    <t>employee_name</t>
  </si>
  <si>
    <t>employee_birthdate</t>
  </si>
  <si>
    <t>employee_email</t>
  </si>
  <si>
    <t>employee_telephone</t>
  </si>
  <si>
    <t>employees_certifications</t>
  </si>
  <si>
    <t>certification_id</t>
  </si>
  <si>
    <t>employee_name_kana</t>
  </si>
  <si>
    <t>employee_login_id</t>
  </si>
  <si>
    <t>employee_login_password</t>
  </si>
  <si>
    <t>parameter [employeeName]</t>
  </si>
  <si>
    <t>parameter [departmentId]</t>
  </si>
  <si>
    <t>parameter [employeeNameKana]</t>
  </si>
  <si>
    <t>parameter [employeeBirthDate]</t>
  </si>
  <si>
    <t>parameter [employeeEmail]</t>
  </si>
  <si>
    <t>parameter [employeeTelephone]</t>
  </si>
  <si>
    <t>parameter [employeeLoginId]</t>
  </si>
  <si>
    <t>parameter [employeeLoginPassword]</t>
  </si>
  <si>
    <t>Thông tin nhân viên chứng chỉ tiếng Nhật</t>
  </si>
  <si>
    <t>start_date</t>
  </si>
  <si>
    <t>message</t>
  </si>
  <si>
    <r>
      <t>4.</t>
    </r>
    <r>
      <rPr>
        <b/>
        <sz val="11"/>
        <color theme="1"/>
        <rFont val="Meiryo UI"/>
        <family val="3"/>
        <charset val="128"/>
      </rPr>
      <t xml:space="preserve"> Tạo dữ liệu response cho API</t>
    </r>
  </si>
  <si>
    <t>Update nhân viên</t>
  </si>
  <si>
    <t>Update Employee</t>
  </si>
  <si>
    <t xml:space="preserve">        "employeeId": "1",                                                                                     </t>
  </si>
  <si>
    <t>1.1 Validate parameter [employeeId]</t>
  </si>
  <si>
    <t>2. Update thông tin nhân viên</t>
  </si>
  <si>
    <t>2.1 Update nhân viên vào database</t>
  </si>
  <si>
    <t>②</t>
  </si>
  <si>
    <t>Điều kiện update</t>
  </si>
  <si>
    <r>
      <t>Điều kiê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n (giá tri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, tên ha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ng mu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c màn hình)</t>
    </r>
  </si>
  <si>
    <t>=parameter [employeeId]</t>
  </si>
  <si>
    <t>3. Update chứng chỉ tiếng Nhật</t>
  </si>
  <si>
    <r>
      <t>Ha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ng mu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c update</t>
    </r>
  </si>
  <si>
    <t>Lấy giá trị từ parameter [employeeId]</t>
  </si>
  <si>
    <t>PUT</t>
  </si>
  <si>
    <t>code</t>
  </si>
  <si>
    <t xml:space="preserve">    "code": "200",                                                                                      </t>
  </si>
  <si>
    <t xml:space="preserve">    "code": "500",                                                                                      </t>
  </si>
  <si>
    <t>200</t>
  </si>
  <si>
    <t>500</t>
  </si>
  <si>
    <t>Khởi tạo transaction</t>
  </si>
  <si>
    <t>Nếu không có lỗi gì xảy ra thì Commit transaction</t>
  </si>
  <si>
    <t>certificationId</t>
  </si>
  <si>
    <t xml:space="preserve">    "certifications": </t>
  </si>
  <si>
    <t>object</t>
  </si>
  <si>
    <t>Đối tượng lưu chứng chỉ tiếng Nhật</t>
  </si>
  <si>
    <t>＊Nếu tham số là rỗng thì không update hạng mục này</t>
  </si>
  <si>
    <t>Thông tin chứng chỉ tiếng Nhật của nhân viên</t>
  </si>
  <si>
    <t>Điều kiện xóa</t>
  </si>
  <si>
    <t>Tên hạng mục</t>
  </si>
  <si>
    <t xml:space="preserve"> = employee_id từ parameter [employeeId]</t>
  </si>
  <si>
    <t>3.1 Xóa thông tin chứng chỉ hiện có của nhân viên</t>
  </si>
  <si>
    <t>3.2 Nếu tồn tại thông tin parameter [certifications] thì thực hiện insert thông tin chứng chỉ vào database</t>
  </si>
  <si>
    <t>employee_certification_id</t>
  </si>
  <si>
    <t>Ko cần insert vì để tự động tăng</t>
  </si>
  <si>
    <t>parameter [certificationId]</t>
  </si>
  <si>
    <t>parameter [employeeId]</t>
  </si>
  <si>
    <t xml:space="preserve">    "message":  {                                             </t>
  </si>
  <si>
    <t xml:space="preserve">    "code": "ER015"           </t>
  </si>
  <si>
    <t xml:space="preserve">    "params": []         </t>
  </si>
  <si>
    <t xml:space="preserve">    "params": []        </t>
  </si>
  <si>
    <t xml:space="preserve">    "code": "MSG002"           </t>
  </si>
  <si>
    <t xml:space="preserve">      "score": "999"</t>
  </si>
  <si>
    <t xml:space="preserve">      "startDate": "2023/01/01",</t>
  </si>
  <si>
    <t xml:space="preserve">      "endDate": "2024/01/01",</t>
  </si>
  <si>
    <t>Lấy giá trị từ No 1, No 2, No 3. Format {code: "", params: []}</t>
  </si>
  <si>
    <t>{code: "MSG002", params: []}</t>
  </si>
  <si>
    <t>Nếu có lỗi xảy ra thì Rollback transaction, di chuyển đến [4. Tạo dữ liệu response cho API] với mã lỗi ER015</t>
  </si>
  <si>
    <t>parameter [startDate]</t>
  </si>
  <si>
    <t>parameter [endDate]</t>
  </si>
  <si>
    <t>parameter [score]</t>
  </si>
  <si>
    <t>startDate</t>
  </si>
  <si>
    <t>endDate</t>
  </si>
  <si>
    <t>1. Validate parameter</t>
  </si>
  <si>
    <t xml:space="preserve">Nếu ko tồn tại parameter này thì trả về lỗi có mã code ER001, tham số "アカウント名" </t>
  </si>
  <si>
    <t xml:space="preserve">Nếu có độ dài vượt quá 50 ký tự thì trả về lỗi có mã code ER006, tham số "アカウント名" </t>
  </si>
  <si>
    <t>Nếu không thỏa mãn điều kiện chỉ chứa các ký tự a-z, A-Z, 0-9 và _ hoặc ký tự đầu tiên là số thì trả về lỗi có mã code ER019</t>
  </si>
  <si>
    <t xml:space="preserve">Nếu ko tồn tại parameter này hoặc giá trị parameter là rỗng thì trả về lỗi có mã code ER001, tham số "氏名" </t>
  </si>
  <si>
    <t xml:space="preserve">Nếu có độ dài vượt quá 125 ký tự thì trả về lỗi có mã code ER006, tham số "氏名" </t>
  </si>
  <si>
    <t xml:space="preserve">Nếu ko tồn tại parameter này hoặc giá trị parameter là rỗng thì trả về lỗi có mã code ER001, tham số "カタカナ氏名" </t>
  </si>
  <si>
    <t xml:space="preserve">Nếu có độ dài vượt quá 125 ký tự thì trả về lỗi có mã code ER006, tham số "カタカナ氏名" </t>
  </si>
  <si>
    <t xml:space="preserve">Nếu không phải là chỉ chứa ký tự katakana thì trả về lỗi có mã code ER009, tham số "カタカナ氏名" </t>
  </si>
  <si>
    <t xml:space="preserve">Nếu ko tồn tại parameter này hoặc giá trị parameter là rỗng thì trả về lỗi có mã code ER001, tham số "生年月日" </t>
  </si>
  <si>
    <t>Nếu không thỏa mãn định dạng yyyy/MM/dd thì trả về lỗi có mã code ER005, tham số "生年月日", "yyyy/MM/dd"</t>
  </si>
  <si>
    <t xml:space="preserve">Nếu ko tồn tại parameter này hoặc giá trị parameter là rỗng thì trả về lỗi có mã code ER001, tham số "メールアドレス" </t>
  </si>
  <si>
    <t xml:space="preserve">Nếu có độ dài vượt quá 125 ký tự thì trả về lỗi có mã code ER006, tham số "メールアドレス" </t>
  </si>
  <si>
    <t xml:space="preserve">Nếu ko tồn tại parameter này hoặc giá trị parameter là rỗng thì trả về lỗi có mã code ER001, tham số "電話番号" </t>
  </si>
  <si>
    <t xml:space="preserve">Nếu có độ dài vượt quá 50 ký tự thì trả về lỗi có mã code ER006, tham số "電話番号" </t>
  </si>
  <si>
    <t xml:space="preserve">Nếu ko tồn tại parameter này hoặc giá trị parameter là rỗng thì trả về lỗi có mã code ER001, tham số "パスワード" </t>
  </si>
  <si>
    <t xml:space="preserve">Nếu ko tồn tại parameter này thì trả về lỗi có mã code ER002, tham số "グループ" </t>
  </si>
  <si>
    <t xml:space="preserve">Nếu giá trị parameter này ko phải là số nguyên dương thì trả về lỗi có mã code ER018, tham số "グループ" </t>
  </si>
  <si>
    <t xml:space="preserve">Nếu giá trị của parameter này ko tồn tại trong departments.departmentId thì trả về lỗi có mã code ER004, tham số "グループ" </t>
  </si>
  <si>
    <t>Nếu request có truyền parameter này thì cần check chi tiết bên dưới</t>
  </si>
  <si>
    <t>Nếu không tồn tại hoặc bị rỗng</t>
  </si>
  <si>
    <t>=&gt;  trả về lỗi có mã code ER001, tham số "資格交付日"</t>
  </si>
  <si>
    <t>Nếu không phải giá trị ngày tháng hợp lệ</t>
  </si>
  <si>
    <t>Nếu không thỏa mãn định dạng yyyy/MM/dd</t>
  </si>
  <si>
    <t>=&gt;  trả về lỗi có mã code ER005, tham số "資格交付日", "yyyy/MM/dd"</t>
  </si>
  <si>
    <t>=&gt;  trả về lỗi có mã code ER001, tham số "失効日"</t>
  </si>
  <si>
    <t>=&gt;  trả về lỗi có mã code ER005, tham số "失効日", "yyyy/MM/dd"</t>
  </si>
  <si>
    <t>=&gt;  trả về lỗi có mã code ER012</t>
  </si>
  <si>
    <t>=&gt;  trả về lỗi có mã code ER001, tham số "点数"</t>
  </si>
  <si>
    <t>Nếu không phải là giá trị kiểu số nguyên dương</t>
  </si>
  <si>
    <t>=&gt;  trả về lỗi có mã code ER018, tham số "点数"</t>
  </si>
  <si>
    <t>=&gt;  trả về lỗi có mã code ER001, tham số "資格"</t>
  </si>
  <si>
    <t xml:space="preserve">Nếu không phải giá trị kiểu số nguyên dương </t>
  </si>
  <si>
    <t>=&gt;  trả về lỗi có mã code ER018, tham số "資格"</t>
  </si>
  <si>
    <t>Nếu không tồn tại giá trị này trong  certifications.certification_id</t>
  </si>
  <si>
    <t>=&gt;  trả về lỗi có mã code ER004, tham số "資格"</t>
  </si>
  <si>
    <t>Nếu có lỗi thì chuyển sang bước  [4. Tạo dữ liệu response cho API]</t>
  </si>
  <si>
    <t xml:space="preserve">Nếu trùng với giá trị KHÁC trong bảng employees.employee_login_id thì trả về lỗi có mã code ER003, tham số "アカウント名" </t>
  </si>
  <si>
    <t xml:space="preserve">Nếu ko tồn tại parameter này thì trả về lỗi có mã code ER001, tham số "ＩＤ" </t>
  </si>
  <si>
    <t>1.2 Validate parameter [employeeLoginId]</t>
  </si>
  <si>
    <t>1.3 Validate parameter [employeeName]</t>
  </si>
  <si>
    <t>1.4 Validate parameter [employeeNameKana]</t>
  </si>
  <si>
    <t>1.5 Validate parameter [employeeBirthDate]</t>
  </si>
  <si>
    <t>1.6 Validate parameter [employeeEmail]</t>
  </si>
  <si>
    <t>1.7 Validate parameter [employeeTelephone]</t>
  </si>
  <si>
    <t>1.8 Nếu parameter [employeeLoginPassword] khác rỗng thì thực hiện validate</t>
  </si>
  <si>
    <t>1.9 Validate parameter [departmentId]</t>
  </si>
  <si>
    <t>1.10 Validate parameter [certifications]</t>
  </si>
  <si>
    <t xml:space="preserve">Nếu không tồn tại trong bảng employees.employee_id thì trả về lỗi có mã code ER013, tham số "ＩＤ" </t>
  </si>
  <si>
    <t>Nếu endDate &lt; startDate</t>
  </si>
  <si>
    <t>Thiết kế API</t>
  </si>
  <si>
    <t>Nếu có độ dài vượt quá 50 ký tự hoặc ngắn hơn 8 ký tự thì trả về lỗi có mã code ER007, tham số "パスワード" , 8, 50</t>
  </si>
  <si>
    <t xml:space="preserve">Nếu chứa ký tự ngoài ký tự 1 byte thì trả về lỗi có mã code ER008, tham số "電話番号" </t>
  </si>
  <si>
    <t>Nếu không phải giá trị ngày tháng hợp lệ thì trả về lỗi có mã code ER011, tham số "生年月日"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</si>
</sst>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_);[Red]\(&quot;¥&quot;#,##0\)"/>
    <numFmt numFmtId="165" formatCode="&quot;¥&quot;#,##0.00_);[Red]\(&quot;¥&quot;#,##0.00\)"/>
    <numFmt numFmtId="166" formatCode="yyyy&quot;年&quot;m&quot;月&quot;d&quot;日&quot;;@"/>
    <numFmt numFmtId="167" formatCode="yyyy/mm/dd;@"/>
    <numFmt numFmtId="168" formatCode="0.0_);[Red]\(0.0\)"/>
  </numFmts>
  <fonts count="58">
    <font>
      <sz val="11"/>
      <name val="Meiryo UI"/>
      <family val="3"/>
    </font>
    <font>
      <sz val="10"/>
      <name val="Arial"/>
      <family val="2"/>
    </font>
    <font>
      <sz val="11"/>
      <color theme="1"/>
      <name val="ＭＳ Ｐゴシック"/>
      <family val="3"/>
    </font>
    <font>
      <sz val="11"/>
      <name val="ＭＳ Ｐゴシック"/>
      <family val="3"/>
    </font>
    <font>
      <sz val="13"/>
      <color theme="1"/>
      <name val="ＭＳ Ｐゴシック"/>
      <family val="3"/>
    </font>
    <font>
      <sz val="10"/>
      <color theme="1"/>
      <name val="ＭＳ Ｐゴシック"/>
      <family val="3"/>
    </font>
    <font>
      <sz val="11"/>
      <color theme="1"/>
      <name val="Meiryo UI"/>
      <family val="3"/>
    </font>
    <font>
      <sz val="11"/>
      <color theme="0"/>
      <name val="Meiryo UI"/>
      <family val="3"/>
    </font>
    <font>
      <sz val="18"/>
      <name val="Meiryo UI"/>
      <family val="3"/>
    </font>
    <font>
      <b/>
      <sz val="11"/>
      <color theme="1"/>
      <name val="Meiryo UI"/>
      <family val="3"/>
    </font>
    <font>
      <b/>
      <sz val="11"/>
      <color rgb="FF000000"/>
      <name val="Meiryo UI"/>
      <family val="3"/>
    </font>
    <font>
      <sz val="11"/>
      <color rgb="FF000000"/>
      <name val="Meiryo UI"/>
      <family val="3"/>
    </font>
    <font>
      <b/>
      <sz val="11"/>
      <color rgb="FFFFFFFF"/>
      <name val="メイリオ"/>
      <family val="3"/>
    </font>
    <font>
      <b/>
      <sz val="11"/>
      <color indexed="9"/>
      <name val="メイリオ"/>
      <family val="3"/>
    </font>
    <font>
      <sz val="11"/>
      <name val="メイリオ"/>
      <family val="3"/>
    </font>
    <font>
      <b/>
      <sz val="24"/>
      <name val="Meiryo UI"/>
      <family val="3"/>
    </font>
    <font>
      <sz val="11"/>
      <color rgb="FFFFFFFF"/>
      <name val="Meiryo UI"/>
      <family val="3"/>
    </font>
    <font>
      <sz val="18"/>
      <color rgb="FF000000"/>
      <name val="Meiryo UI"/>
      <family val="3"/>
    </font>
    <font>
      <b/>
      <sz val="24"/>
      <color rgb="FF000000"/>
      <name val="Meiryo UI"/>
      <family val="3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0000FF"/>
      <name val="Meiryo UI"/>
      <family val="3"/>
    </font>
    <font>
      <b/>
      <sz val="11"/>
      <name val="Meiryo UI"/>
      <family val="3"/>
    </font>
    <font>
      <sz val="11"/>
      <color rgb="FF0000FF"/>
      <name val="ＭＳ Ｐゴシック"/>
      <family val="3"/>
    </font>
    <font>
      <b/>
      <sz val="11"/>
      <name val="ＭＳ Ｐゴシック"/>
      <family val="3"/>
    </font>
    <font>
      <sz val="11"/>
      <color rgb="FF00B0F0"/>
      <name val="Meiryo UI"/>
      <family val="3"/>
    </font>
    <font>
      <sz val="11"/>
      <color rgb="FF00B0F0"/>
      <name val="ＭＳ Ｐゴシック"/>
      <family val="3"/>
    </font>
    <font>
      <sz val="11"/>
      <name val="Meiryo UI"/>
      <family val="2"/>
    </font>
    <font>
      <strike/>
      <sz val="11"/>
      <name val="ＭＳ Ｐゴシック"/>
      <family val="3"/>
    </font>
    <font>
      <b/>
      <sz val="14"/>
      <color rgb="FF000000"/>
      <name val="Meiryo UI"/>
      <family val="2"/>
    </font>
    <font>
      <sz val="11"/>
      <color rgb="FF000000"/>
      <name val="Meiryo UI"/>
      <family val="2"/>
    </font>
    <font>
      <b/>
      <sz val="18"/>
      <name val="Meiryo UI"/>
      <family val="2"/>
    </font>
    <font>
      <b/>
      <sz val="13"/>
      <name val="Meiryo UI"/>
      <family val="3"/>
    </font>
    <font>
      <sz val="11"/>
      <color rgb="FF9933FF"/>
      <name val="Meiryo UI"/>
      <family val="3"/>
    </font>
    <font>
      <sz val="11"/>
      <color rgb="FF9933FF"/>
      <name val="Meiryo UI"/>
      <family val="2"/>
    </font>
    <font>
      <sz val="11"/>
      <color rgb="FF9933FF"/>
      <name val="メイリオ"/>
      <family val="3"/>
    </font>
    <font>
      <sz val="11"/>
      <color rgb="FF009900"/>
      <name val="メイリオ"/>
      <family val="3"/>
    </font>
    <font>
      <sz val="11"/>
      <color rgb="FF0000FF"/>
      <name val="メイリオ"/>
      <family val="3"/>
    </font>
    <font>
      <sz val="11"/>
      <color rgb="FF00B0F0"/>
      <name val="メイリオ"/>
      <family val="3"/>
    </font>
    <font>
      <sz val="11"/>
      <color rgb="FFFF00FF"/>
      <name val="メイリオ"/>
      <family val="3"/>
    </font>
    <font>
      <sz val="11"/>
      <color rgb="FFC00000"/>
      <name val="メイリオ"/>
      <family val="3"/>
    </font>
    <font>
      <b/>
      <sz val="11"/>
      <color theme="1"/>
      <name val="Meiryo UI"/>
      <family val="3"/>
      <charset val="128"/>
    </font>
    <font>
      <b/>
      <sz val="11"/>
      <color theme="1"/>
      <name val="Meiryo UI"/>
      <family val="2"/>
    </font>
    <font>
      <sz val="11"/>
      <color rgb="FFFF0000"/>
      <name val="メイリオ"/>
      <family val="3"/>
    </font>
    <font>
      <sz val="11"/>
      <color rgb="FFA50021"/>
      <name val="メイリオ"/>
      <family val="3"/>
    </font>
    <font>
      <sz val="6"/>
      <name val="ＭＳ ゴシック"/>
      <family val="3"/>
      <charset val="128"/>
    </font>
    <font>
      <sz val="18"/>
      <color theme="1"/>
      <name val="Meiryo UI"/>
      <family val="3"/>
    </font>
    <font>
      <sz val="11"/>
      <color theme="1"/>
      <name val="Arial"/>
      <family val="2"/>
    </font>
    <font>
      <sz val="11"/>
      <color rgb="FFFF0000"/>
      <name val="Meiryo UI"/>
      <family val="3"/>
      <charset val="128"/>
    </font>
    <font>
      <sz val="11"/>
      <color rgb="FFFF0000"/>
      <name val="Meiryo UI"/>
      <family val="3"/>
    </font>
    <font>
      <sz val="11"/>
      <color rgb="FFFF0000"/>
      <name val="ＭＳ Ｐゴシック"/>
      <family val="3"/>
    </font>
    <font>
      <sz val="11"/>
      <color rgb="FFFF0000"/>
      <name val="Meiryo UI"/>
      <family val="2"/>
    </font>
    <font>
      <strike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0" fontId="2" fillId="0" borderId="0" applyFont="0" applyFill="0" applyBorder="0" applyProtection="0"/>
    <xf numFmtId="38" fontId="2" fillId="0" borderId="0" applyFont="0" applyFill="0" applyBorder="0" applyProtection="0"/>
    <xf numFmtId="165" fontId="2" fillId="0" borderId="0" applyFont="0" applyFill="0" applyBorder="0" applyProtection="0"/>
    <xf numFmtId="164" fontId="2" fillId="0" borderId="0" applyFont="0" applyFill="0" applyBorder="0" applyProtection="0"/>
    <xf numFmtId="9" fontId="2" fillId="0" borderId="0" applyFont="0" applyFill="0" applyBorder="0" applyProtection="0"/>
    <xf numFmtId="0" fontId="22" fillId="0" borderId="0"/>
  </cellStyleXfs>
  <cellXfs count="58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0" xfId="0" applyAlignment="1"/>
    <xf numFmtId="0" fontId="0" fillId="0" borderId="5" xfId="0" applyBorder="1" applyAlignme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3" fillId="2" borderId="0" xfId="0" applyFont="1" applyFill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8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left" shrinkToFit="1"/>
    </xf>
    <xf numFmtId="14" fontId="0" fillId="0" borderId="0" xfId="0" applyNumberFormat="1" applyAlignment="1">
      <alignment horizontal="left" shrinkToFit="1"/>
    </xf>
    <xf numFmtId="2" fontId="0" fillId="0" borderId="0" xfId="0" applyNumberFormat="1" applyAlignment="1">
      <alignment horizontal="left" shrinkToFit="1"/>
    </xf>
    <xf numFmtId="0" fontId="6" fillId="0" borderId="0" xfId="0" applyFont="1">
      <alignment vertical="center"/>
    </xf>
    <xf numFmtId="0" fontId="6" fillId="0" borderId="5" xfId="0" applyFont="1" applyBorder="1">
      <alignment vertical="center"/>
    </xf>
    <xf numFmtId="0" fontId="6" fillId="0" borderId="2" xfId="0" applyFont="1" applyBorder="1">
      <alignment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6" fillId="2" borderId="7" xfId="0" quotePrefix="1" applyFont="1" applyFill="1" applyBorder="1" applyAlignment="1">
      <alignment horizontal="left" vertical="center"/>
    </xf>
    <xf numFmtId="0" fontId="6" fillId="2" borderId="1" xfId="0" quotePrefix="1" applyFont="1" applyFill="1" applyBorder="1" applyAlignment="1">
      <alignment horizontal="left" vertical="center"/>
    </xf>
    <xf numFmtId="49" fontId="14" fillId="0" borderId="22" xfId="0" applyNumberFormat="1" applyFont="1" applyBorder="1">
      <alignment vertical="center"/>
    </xf>
    <xf numFmtId="49" fontId="14" fillId="0" borderId="23" xfId="0" applyNumberFormat="1" applyFont="1" applyBorder="1">
      <alignment vertical="center"/>
    </xf>
    <xf numFmtId="49" fontId="14" fillId="0" borderId="24" xfId="0" applyNumberFormat="1" applyFont="1" applyBorder="1">
      <alignment vertical="center"/>
    </xf>
    <xf numFmtId="49" fontId="14" fillId="0" borderId="25" xfId="0" applyNumberFormat="1" applyFont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7" fillId="2" borderId="0" xfId="0" applyFont="1" applyFill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3" xfId="0" quotePrefix="1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2" borderId="9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26" fillId="5" borderId="7" xfId="0" applyFont="1" applyFill="1" applyBorder="1" applyAlignment="1">
      <alignment horizontal="left" vertical="center"/>
    </xf>
    <xf numFmtId="0" fontId="26" fillId="5" borderId="8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5" borderId="8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6" borderId="1" xfId="0" applyFont="1" applyFill="1" applyBorder="1">
      <alignment vertical="center"/>
    </xf>
    <xf numFmtId="49" fontId="14" fillId="0" borderId="26" xfId="0" applyNumberFormat="1" applyFont="1" applyBorder="1">
      <alignment vertical="center"/>
    </xf>
    <xf numFmtId="49" fontId="14" fillId="0" borderId="27" xfId="0" applyNumberFormat="1" applyFont="1" applyBorder="1">
      <alignment vertical="center"/>
    </xf>
    <xf numFmtId="49" fontId="14" fillId="0" borderId="28" xfId="0" applyNumberFormat="1" applyFont="1" applyBorder="1">
      <alignment vertical="center"/>
    </xf>
    <xf numFmtId="49" fontId="14" fillId="0" borderId="29" xfId="0" applyNumberFormat="1" applyFont="1" applyBorder="1">
      <alignment vertical="center"/>
    </xf>
    <xf numFmtId="49" fontId="14" fillId="0" borderId="30" xfId="0" applyNumberFormat="1" applyFont="1" applyBorder="1">
      <alignment vertical="center"/>
    </xf>
    <xf numFmtId="0" fontId="20" fillId="0" borderId="0" xfId="0" applyFont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0" xfId="0" applyFont="1">
      <alignment vertical="center"/>
    </xf>
    <xf numFmtId="0" fontId="29" fillId="2" borderId="7" xfId="0" applyFont="1" applyFill="1" applyBorder="1" applyAlignment="1">
      <alignment horizontal="left" vertical="center"/>
    </xf>
    <xf numFmtId="0" fontId="29" fillId="2" borderId="8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0" fillId="2" borderId="8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32" fillId="2" borderId="10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6" fillId="0" borderId="0" xfId="0" applyFont="1" applyAlignment="1">
      <alignment vertical="center" wrapText="1"/>
    </xf>
    <xf numFmtId="0" fontId="20" fillId="2" borderId="1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5" fillId="0" borderId="0" xfId="0" applyFont="1">
      <alignment vertical="center"/>
    </xf>
    <xf numFmtId="0" fontId="2" fillId="2" borderId="2" xfId="0" applyFont="1" applyFill="1" applyBorder="1">
      <alignment vertical="center"/>
    </xf>
    <xf numFmtId="0" fontId="0" fillId="2" borderId="7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49" fontId="39" fillId="0" borderId="22" xfId="0" applyNumberFormat="1" applyFont="1" applyBorder="1">
      <alignment vertical="center"/>
    </xf>
    <xf numFmtId="49" fontId="39" fillId="0" borderId="23" xfId="0" applyNumberFormat="1" applyFont="1" applyBorder="1">
      <alignment vertical="center"/>
    </xf>
    <xf numFmtId="49" fontId="39" fillId="0" borderId="25" xfId="0" applyNumberFormat="1" applyFont="1" applyBorder="1">
      <alignment vertical="center"/>
    </xf>
    <xf numFmtId="0" fontId="20" fillId="2" borderId="0" xfId="0" applyFont="1" applyFill="1" applyAlignment="1">
      <alignment horizontal="left" vertical="center"/>
    </xf>
    <xf numFmtId="49" fontId="40" fillId="0" borderId="22" xfId="0" applyNumberFormat="1" applyFont="1" applyBorder="1">
      <alignment vertical="center"/>
    </xf>
    <xf numFmtId="49" fontId="41" fillId="0" borderId="22" xfId="0" applyNumberFormat="1" applyFont="1" applyBorder="1">
      <alignment vertical="center"/>
    </xf>
    <xf numFmtId="49" fontId="41" fillId="0" borderId="23" xfId="0" applyNumberFormat="1" applyFont="1" applyBorder="1">
      <alignment vertical="center"/>
    </xf>
    <xf numFmtId="49" fontId="41" fillId="0" borderId="24" xfId="0" applyNumberFormat="1" applyFont="1" applyBorder="1">
      <alignment vertical="center"/>
    </xf>
    <xf numFmtId="49" fontId="41" fillId="0" borderId="25" xfId="0" applyNumberFormat="1" applyFont="1" applyBorder="1">
      <alignment vertical="center"/>
    </xf>
    <xf numFmtId="49" fontId="42" fillId="0" borderId="22" xfId="0" applyNumberFormat="1" applyFont="1" applyBorder="1">
      <alignment vertical="center"/>
    </xf>
    <xf numFmtId="49" fontId="42" fillId="0" borderId="23" xfId="0" applyNumberFormat="1" applyFont="1" applyBorder="1">
      <alignment vertical="center"/>
    </xf>
    <xf numFmtId="49" fontId="42" fillId="0" borderId="24" xfId="0" applyNumberFormat="1" applyFont="1" applyBorder="1">
      <alignment vertical="center"/>
    </xf>
    <xf numFmtId="49" fontId="42" fillId="0" borderId="25" xfId="0" applyNumberFormat="1" applyFont="1" applyBorder="1">
      <alignment vertical="center"/>
    </xf>
    <xf numFmtId="49" fontId="43" fillId="0" borderId="22" xfId="0" applyNumberFormat="1" applyFont="1" applyBorder="1">
      <alignment vertical="center"/>
    </xf>
    <xf numFmtId="49" fontId="44" fillId="0" borderId="22" xfId="0" applyNumberFormat="1" applyFont="1" applyBorder="1">
      <alignment vertical="center"/>
    </xf>
    <xf numFmtId="49" fontId="44" fillId="0" borderId="23" xfId="0" applyNumberFormat="1" applyFont="1" applyBorder="1">
      <alignment vertical="center"/>
    </xf>
    <xf numFmtId="49" fontId="44" fillId="0" borderId="25" xfId="0" applyNumberFormat="1" applyFont="1" applyBorder="1">
      <alignment vertical="center"/>
    </xf>
    <xf numFmtId="0" fontId="45" fillId="2" borderId="0" xfId="0" applyFont="1" applyFill="1" applyAlignment="1">
      <alignment horizontal="left" vertical="center"/>
    </xf>
    <xf numFmtId="0" fontId="46" fillId="2" borderId="0" xfId="0" applyFont="1" applyFill="1" applyAlignment="1">
      <alignment horizontal="left" vertical="center"/>
    </xf>
    <xf numFmtId="49" fontId="47" fillId="0" borderId="22" xfId="0" applyNumberFormat="1" applyFont="1" applyBorder="1">
      <alignment vertical="center"/>
    </xf>
    <xf numFmtId="0" fontId="25" fillId="0" borderId="2" xfId="0" applyFont="1" applyBorder="1" applyAlignment="1"/>
    <xf numFmtId="0" fontId="25" fillId="0" borderId="5" xfId="0" applyFont="1" applyBorder="1" applyAlignment="1"/>
    <xf numFmtId="49" fontId="48" fillId="0" borderId="22" xfId="0" applyNumberFormat="1" applyFont="1" applyBorder="1">
      <alignment vertical="center"/>
    </xf>
    <xf numFmtId="49" fontId="48" fillId="0" borderId="23" xfId="0" applyNumberFormat="1" applyFont="1" applyBorder="1">
      <alignment vertical="center"/>
    </xf>
    <xf numFmtId="49" fontId="48" fillId="0" borderId="24" xfId="0" applyNumberFormat="1" applyFont="1" applyBorder="1">
      <alignment vertical="center"/>
    </xf>
    <xf numFmtId="49" fontId="48" fillId="0" borderId="25" xfId="0" applyNumberFormat="1" applyFont="1" applyBorder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2" borderId="7" xfId="0" quotePrefix="1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6" xfId="0" applyFont="1" applyBorder="1">
      <alignment vertical="center"/>
    </xf>
    <xf numFmtId="0" fontId="20" fillId="0" borderId="2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49" fontId="20" fillId="2" borderId="0" xfId="0" applyNumberFormat="1" applyFont="1" applyFill="1">
      <alignment vertical="center"/>
    </xf>
    <xf numFmtId="0" fontId="20" fillId="8" borderId="7" xfId="0" applyFont="1" applyFill="1" applyBorder="1" applyAlignment="1">
      <alignment horizontal="centerContinuous" vertical="center"/>
    </xf>
    <xf numFmtId="0" fontId="20" fillId="8" borderId="8" xfId="0" applyFont="1" applyFill="1" applyBorder="1" applyAlignment="1">
      <alignment horizontal="centerContinuous" vertical="center"/>
    </xf>
    <xf numFmtId="0" fontId="20" fillId="8" borderId="1" xfId="0" applyFont="1" applyFill="1" applyBorder="1" applyAlignment="1">
      <alignment horizontal="centerContinuous" vertical="center"/>
    </xf>
    <xf numFmtId="0" fontId="20" fillId="8" borderId="34" xfId="0" applyFont="1" applyFill="1" applyBorder="1" applyAlignment="1">
      <alignment horizontal="centerContinuous" vertical="center"/>
    </xf>
    <xf numFmtId="0" fontId="20" fillId="8" borderId="35" xfId="0" applyFont="1" applyFill="1" applyBorder="1" applyAlignment="1">
      <alignment horizontal="centerContinuous" vertical="center"/>
    </xf>
    <xf numFmtId="0" fontId="20" fillId="0" borderId="7" xfId="0" applyFont="1" applyBorder="1" applyAlignment="1">
      <alignment horizontal="centerContinuous" vertical="center"/>
    </xf>
    <xf numFmtId="0" fontId="20" fillId="2" borderId="8" xfId="0" applyFont="1" applyFill="1" applyBorder="1" applyAlignment="1">
      <alignment horizontal="centerContinuous" vertical="center"/>
    </xf>
    <xf numFmtId="0" fontId="20" fillId="2" borderId="35" xfId="0" applyFont="1" applyFill="1" applyBorder="1" applyAlignment="1">
      <alignment horizontal="centerContinuous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Continuous" vertical="center"/>
    </xf>
    <xf numFmtId="0" fontId="20" fillId="0" borderId="0" xfId="0" applyFont="1" applyAlignment="1">
      <alignment horizontal="centerContinuous" vertical="center"/>
    </xf>
    <xf numFmtId="0" fontId="20" fillId="2" borderId="0" xfId="0" applyFont="1" applyFill="1" applyAlignment="1">
      <alignment horizontal="centerContinuous" vertical="center"/>
    </xf>
    <xf numFmtId="0" fontId="20" fillId="2" borderId="0" xfId="0" quotePrefix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20" fillId="8" borderId="9" xfId="0" applyFont="1" applyFill="1" applyBorder="1" applyAlignment="1">
      <alignment horizontal="centerContinuous" vertical="center"/>
    </xf>
    <xf numFmtId="0" fontId="20" fillId="8" borderId="10" xfId="0" applyFont="1" applyFill="1" applyBorder="1" applyAlignment="1">
      <alignment horizontal="centerContinuous" vertical="center"/>
    </xf>
    <xf numFmtId="0" fontId="20" fillId="8" borderId="9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centerContinuous" vertical="center"/>
    </xf>
    <xf numFmtId="0" fontId="20" fillId="8" borderId="7" xfId="0" applyFont="1" applyFill="1" applyBorder="1" applyAlignment="1">
      <alignment horizontal="left" vertical="center"/>
    </xf>
    <xf numFmtId="0" fontId="2" fillId="8" borderId="1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6" fillId="8" borderId="1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horizontal="left" vertical="center"/>
    </xf>
    <xf numFmtId="0" fontId="20" fillId="2" borderId="1" xfId="0" applyFont="1" applyFill="1" applyBorder="1">
      <alignment vertical="center"/>
    </xf>
    <xf numFmtId="0" fontId="20" fillId="2" borderId="8" xfId="0" applyFont="1" applyFill="1" applyBorder="1">
      <alignment vertical="center"/>
    </xf>
    <xf numFmtId="0" fontId="2" fillId="2" borderId="7" xfId="0" quotePrefix="1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0" fillId="2" borderId="9" xfId="0" quotePrefix="1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/>
    </xf>
    <xf numFmtId="0" fontId="0" fillId="2" borderId="37" xfId="0" applyFill="1" applyBorder="1" applyAlignment="1">
      <alignment horizontal="left" vertical="center"/>
    </xf>
    <xf numFmtId="0" fontId="20" fillId="2" borderId="7" xfId="0" quotePrefix="1" applyFont="1" applyFill="1" applyBorder="1" applyAlignment="1">
      <alignment horizontal="left" vertical="center"/>
    </xf>
    <xf numFmtId="0" fontId="2" fillId="2" borderId="0" xfId="0" quotePrefix="1" applyFont="1" applyFill="1">
      <alignment vertical="center"/>
    </xf>
    <xf numFmtId="0" fontId="20" fillId="8" borderId="7" xfId="0" applyFont="1" applyFill="1" applyBorder="1">
      <alignment vertical="center"/>
    </xf>
    <xf numFmtId="0" fontId="20" fillId="8" borderId="1" xfId="0" applyFont="1" applyFill="1" applyBorder="1">
      <alignment vertical="center"/>
    </xf>
    <xf numFmtId="0" fontId="20" fillId="8" borderId="8" xfId="0" applyFont="1" applyFill="1" applyBorder="1">
      <alignment vertical="center"/>
    </xf>
    <xf numFmtId="0" fontId="20" fillId="2" borderId="0" xfId="0" quotePrefix="1" applyFont="1" applyFill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0" fontId="31" fillId="2" borderId="7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53" fillId="2" borderId="0" xfId="0" applyFont="1" applyFill="1" applyAlignment="1">
      <alignment horizontal="left" vertical="center"/>
    </xf>
    <xf numFmtId="0" fontId="53" fillId="2" borderId="4" xfId="0" applyFont="1" applyFill="1" applyBorder="1">
      <alignment vertical="center"/>
    </xf>
    <xf numFmtId="0" fontId="53" fillId="2" borderId="1" xfId="0" applyFont="1" applyFill="1" applyBorder="1" applyAlignment="1">
      <alignment horizontal="left" vertical="center"/>
    </xf>
    <xf numFmtId="0" fontId="54" fillId="2" borderId="1" xfId="0" applyFont="1" applyFill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53" fillId="0" borderId="4" xfId="0" applyFont="1" applyBorder="1">
      <alignment vertical="center"/>
    </xf>
    <xf numFmtId="0" fontId="6" fillId="0" borderId="4" xfId="0" applyFont="1" applyBorder="1" applyAlignment="1">
      <alignment horizontal="left" vertical="center"/>
    </xf>
    <xf numFmtId="0" fontId="52" fillId="0" borderId="0" xfId="0" quotePrefix="1" applyFont="1" applyAlignment="1">
      <alignment horizontal="left" vertical="center"/>
    </xf>
    <xf numFmtId="0" fontId="55" fillId="2" borderId="0" xfId="0" applyFont="1" applyFill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3" xfId="0" quotePrefix="1" applyFont="1" applyBorder="1">
      <alignment vertical="center"/>
    </xf>
    <xf numFmtId="0" fontId="20" fillId="0" borderId="0" xfId="0" quotePrefix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20" fillId="2" borderId="10" xfId="0" applyFont="1" applyFill="1" applyBorder="1">
      <alignment vertical="center"/>
    </xf>
    <xf numFmtId="0" fontId="20" fillId="2" borderId="4" xfId="0" applyFont="1" applyFill="1" applyBorder="1">
      <alignment vertical="center"/>
    </xf>
    <xf numFmtId="0" fontId="20" fillId="2" borderId="9" xfId="0" applyFont="1" applyFill="1" applyBorder="1">
      <alignment vertical="center"/>
    </xf>
    <xf numFmtId="0" fontId="20" fillId="2" borderId="11" xfId="0" applyFont="1" applyFill="1" applyBorder="1">
      <alignment vertical="center"/>
    </xf>
    <xf numFmtId="0" fontId="20" fillId="2" borderId="3" xfId="0" applyFont="1" applyFill="1" applyBorder="1">
      <alignment vertical="center"/>
    </xf>
    <xf numFmtId="0" fontId="20" fillId="2" borderId="6" xfId="0" applyFont="1" applyFill="1" applyBorder="1">
      <alignment vertical="center"/>
    </xf>
    <xf numFmtId="0" fontId="2" fillId="2" borderId="9" xfId="0" quotePrefix="1" applyFont="1" applyFill="1" applyBorder="1">
      <alignment vertical="center"/>
    </xf>
    <xf numFmtId="0" fontId="2" fillId="2" borderId="10" xfId="0" quotePrefix="1" applyFont="1" applyFill="1" applyBorder="1">
      <alignment vertical="center"/>
    </xf>
    <xf numFmtId="0" fontId="2" fillId="2" borderId="11" xfId="0" quotePrefix="1" applyFont="1" applyFill="1" applyBorder="1">
      <alignment vertical="center"/>
    </xf>
    <xf numFmtId="0" fontId="2" fillId="2" borderId="3" xfId="0" quotePrefix="1" applyFont="1" applyFill="1" applyBorder="1">
      <alignment vertical="center"/>
    </xf>
    <xf numFmtId="0" fontId="2" fillId="2" borderId="4" xfId="0" quotePrefix="1" applyFont="1" applyFill="1" applyBorder="1">
      <alignment vertical="center"/>
    </xf>
    <xf numFmtId="0" fontId="2" fillId="2" borderId="6" xfId="0" quotePrefix="1" applyFont="1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6" fillId="2" borderId="9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6" fillId="2" borderId="11" xfId="0" applyFont="1" applyFill="1" applyBorder="1">
      <alignment vertical="center"/>
    </xf>
    <xf numFmtId="0" fontId="20" fillId="2" borderId="4" xfId="0" applyFont="1" applyFill="1" applyBorder="1" applyAlignment="1">
      <alignment horizontal="left" vertical="center"/>
    </xf>
    <xf numFmtId="0" fontId="56" fillId="8" borderId="1" xfId="0" applyFont="1" applyFill="1" applyBorder="1">
      <alignment vertical="center"/>
    </xf>
    <xf numFmtId="0" fontId="6" fillId="0" borderId="31" xfId="0" applyFont="1" applyBorder="1">
      <alignment vertical="center"/>
    </xf>
    <xf numFmtId="0" fontId="56" fillId="2" borderId="1" xfId="0" applyFont="1" applyFill="1" applyBorder="1">
      <alignment vertical="center"/>
    </xf>
    <xf numFmtId="0" fontId="21" fillId="0" borderId="0" xfId="0" quotePrefix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2" fillId="0" borderId="2" xfId="0" applyFont="1" applyBorder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2" fillId="0" borderId="0" xfId="0" applyFont="1">
      <alignment vertical="center"/>
    </xf>
    <xf numFmtId="0" fontId="52" fillId="0" borderId="5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41" fillId="0" borderId="9" xfId="0" applyNumberFormat="1" applyFont="1" applyBorder="1" applyAlignment="1">
      <alignment horizontal="left" vertical="center"/>
    </xf>
    <xf numFmtId="167" fontId="41" fillId="0" borderId="10" xfId="0" applyNumberFormat="1" applyFont="1" applyBorder="1" applyAlignment="1">
      <alignment horizontal="left" vertical="center"/>
    </xf>
    <xf numFmtId="167" fontId="41" fillId="0" borderId="11" xfId="0" applyNumberFormat="1" applyFont="1" applyBorder="1" applyAlignment="1">
      <alignment horizontal="left" vertical="center"/>
    </xf>
    <xf numFmtId="167" fontId="41" fillId="0" borderId="3" xfId="0" applyNumberFormat="1" applyFont="1" applyBorder="1" applyAlignment="1">
      <alignment horizontal="left" vertical="center"/>
    </xf>
    <xf numFmtId="167" fontId="41" fillId="0" borderId="4" xfId="0" applyNumberFormat="1" applyFont="1" applyBorder="1" applyAlignment="1">
      <alignment horizontal="left" vertical="center"/>
    </xf>
    <xf numFmtId="167" fontId="41" fillId="0" borderId="6" xfId="0" applyNumberFormat="1" applyFont="1" applyBorder="1" applyAlignment="1">
      <alignment horizontal="left" vertical="center"/>
    </xf>
    <xf numFmtId="49" fontId="41" fillId="0" borderId="9" xfId="0" applyNumberFormat="1" applyFont="1" applyBorder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1" fillId="0" borderId="11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/>
    </xf>
    <xf numFmtId="0" fontId="41" fillId="0" borderId="4" xfId="0" applyFont="1" applyBorder="1" applyAlignment="1">
      <alignment horizontal="left" vertical="center"/>
    </xf>
    <xf numFmtId="0" fontId="41" fillId="0" borderId="6" xfId="0" applyFont="1" applyBorder="1" applyAlignment="1">
      <alignment horizontal="left" vertical="center"/>
    </xf>
    <xf numFmtId="168" fontId="41" fillId="0" borderId="9" xfId="0" applyNumberFormat="1" applyFont="1" applyBorder="1" applyAlignment="1">
      <alignment horizontal="center" vertical="center"/>
    </xf>
    <xf numFmtId="168" fontId="41" fillId="0" borderId="10" xfId="0" applyNumberFormat="1" applyFont="1" applyBorder="1" applyAlignment="1">
      <alignment horizontal="center" vertical="center"/>
    </xf>
    <xf numFmtId="168" fontId="41" fillId="0" borderId="11" xfId="0" applyNumberFormat="1" applyFont="1" applyBorder="1" applyAlignment="1">
      <alignment horizontal="center" vertical="center"/>
    </xf>
    <xf numFmtId="168" fontId="41" fillId="0" borderId="3" xfId="0" applyNumberFormat="1" applyFont="1" applyBorder="1" applyAlignment="1">
      <alignment horizontal="center" vertical="center"/>
    </xf>
    <xf numFmtId="168" fontId="41" fillId="0" borderId="4" xfId="0" applyNumberFormat="1" applyFont="1" applyBorder="1" applyAlignment="1">
      <alignment horizontal="center" vertical="center"/>
    </xf>
    <xf numFmtId="168" fontId="41" fillId="0" borderId="6" xfId="0" applyNumberFormat="1" applyFont="1" applyBorder="1" applyAlignment="1">
      <alignment horizontal="center" vertical="center"/>
    </xf>
    <xf numFmtId="49" fontId="25" fillId="0" borderId="9" xfId="0" applyNumberFormat="1" applyFont="1" applyBorder="1">
      <alignment vertical="center"/>
    </xf>
    <xf numFmtId="49" fontId="25" fillId="0" borderId="10" xfId="0" applyNumberFormat="1" applyFont="1" applyBorder="1">
      <alignment vertical="center"/>
    </xf>
    <xf numFmtId="49" fontId="25" fillId="0" borderId="11" xfId="0" applyNumberFormat="1" applyFont="1" applyBorder="1">
      <alignment vertical="center"/>
    </xf>
    <xf numFmtId="49" fontId="25" fillId="0" borderId="3" xfId="0" applyNumberFormat="1" applyFont="1" applyBorder="1">
      <alignment vertical="center"/>
    </xf>
    <xf numFmtId="49" fontId="25" fillId="0" borderId="4" xfId="0" applyNumberFormat="1" applyFont="1" applyBorder="1">
      <alignment vertical="center"/>
    </xf>
    <xf numFmtId="49" fontId="25" fillId="0" borderId="6" xfId="0" applyNumberFormat="1" applyFont="1" applyBorder="1">
      <alignment vertical="center"/>
    </xf>
    <xf numFmtId="167" fontId="47" fillId="0" borderId="9" xfId="0" applyNumberFormat="1" applyFont="1" applyBorder="1" applyAlignment="1">
      <alignment horizontal="left" vertical="center"/>
    </xf>
    <xf numFmtId="167" fontId="47" fillId="0" borderId="10" xfId="0" applyNumberFormat="1" applyFont="1" applyBorder="1" applyAlignment="1">
      <alignment horizontal="left" vertical="center"/>
    </xf>
    <xf numFmtId="167" fontId="47" fillId="0" borderId="11" xfId="0" applyNumberFormat="1" applyFont="1" applyBorder="1" applyAlignment="1">
      <alignment horizontal="left" vertical="center"/>
    </xf>
    <xf numFmtId="167" fontId="47" fillId="0" borderId="3" xfId="0" applyNumberFormat="1" applyFont="1" applyBorder="1" applyAlignment="1">
      <alignment horizontal="left" vertical="center"/>
    </xf>
    <xf numFmtId="167" fontId="47" fillId="0" borderId="4" xfId="0" applyNumberFormat="1" applyFont="1" applyBorder="1" applyAlignment="1">
      <alignment horizontal="left" vertical="center"/>
    </xf>
    <xf numFmtId="167" fontId="47" fillId="0" borderId="6" xfId="0" applyNumberFormat="1" applyFont="1" applyBorder="1" applyAlignment="1">
      <alignment horizontal="left" vertical="center"/>
    </xf>
    <xf numFmtId="49" fontId="47" fillId="0" borderId="9" xfId="0" applyNumberFormat="1" applyFont="1" applyBorder="1" applyAlignment="1">
      <alignment horizontal="left" vertical="center"/>
    </xf>
    <xf numFmtId="0" fontId="47" fillId="0" borderId="10" xfId="0" applyFont="1" applyBorder="1" applyAlignment="1">
      <alignment horizontal="left" vertical="center"/>
    </xf>
    <xf numFmtId="0" fontId="47" fillId="0" borderId="11" xfId="0" applyFont="1" applyBorder="1" applyAlignment="1">
      <alignment horizontal="left" vertical="center"/>
    </xf>
    <xf numFmtId="0" fontId="47" fillId="0" borderId="3" xfId="0" applyFont="1" applyBorder="1" applyAlignment="1">
      <alignment horizontal="left" vertical="center"/>
    </xf>
    <xf numFmtId="0" fontId="47" fillId="0" borderId="4" xfId="0" applyFont="1" applyBorder="1" applyAlignment="1">
      <alignment horizontal="left" vertical="center"/>
    </xf>
    <xf numFmtId="0" fontId="47" fillId="0" borderId="6" xfId="0" applyFont="1" applyBorder="1" applyAlignment="1">
      <alignment horizontal="left" vertical="center"/>
    </xf>
    <xf numFmtId="168" fontId="47" fillId="0" borderId="9" xfId="0" applyNumberFormat="1" applyFont="1" applyBorder="1" applyAlignment="1">
      <alignment horizontal="center" vertical="center"/>
    </xf>
    <xf numFmtId="168" fontId="47" fillId="0" borderId="10" xfId="0" applyNumberFormat="1" applyFont="1" applyBorder="1" applyAlignment="1">
      <alignment horizontal="center" vertical="center"/>
    </xf>
    <xf numFmtId="168" fontId="47" fillId="0" borderId="11" xfId="0" applyNumberFormat="1" applyFont="1" applyBorder="1" applyAlignment="1">
      <alignment horizontal="center" vertical="center"/>
    </xf>
    <xf numFmtId="168" fontId="47" fillId="0" borderId="3" xfId="0" applyNumberFormat="1" applyFont="1" applyBorder="1" applyAlignment="1">
      <alignment horizontal="center" vertical="center"/>
    </xf>
    <xf numFmtId="168" fontId="47" fillId="0" borderId="4" xfId="0" applyNumberFormat="1" applyFont="1" applyBorder="1" applyAlignment="1">
      <alignment horizontal="center" vertical="center"/>
    </xf>
    <xf numFmtId="168" fontId="47" fillId="0" borderId="6" xfId="0" applyNumberFormat="1" applyFont="1" applyBorder="1" applyAlignment="1">
      <alignment horizontal="center" vertical="center"/>
    </xf>
    <xf numFmtId="167" fontId="44" fillId="0" borderId="9" xfId="0" applyNumberFormat="1" applyFont="1" applyBorder="1" applyAlignment="1">
      <alignment horizontal="left" vertical="center"/>
    </xf>
    <xf numFmtId="167" fontId="44" fillId="0" borderId="10" xfId="0" applyNumberFormat="1" applyFont="1" applyBorder="1" applyAlignment="1">
      <alignment horizontal="left" vertical="center"/>
    </xf>
    <xf numFmtId="167" fontId="44" fillId="0" borderId="11" xfId="0" applyNumberFormat="1" applyFont="1" applyBorder="1" applyAlignment="1">
      <alignment horizontal="left" vertical="center"/>
    </xf>
    <xf numFmtId="167" fontId="44" fillId="0" borderId="3" xfId="0" applyNumberFormat="1" applyFont="1" applyBorder="1" applyAlignment="1">
      <alignment horizontal="left" vertical="center"/>
    </xf>
    <xf numFmtId="167" fontId="44" fillId="0" borderId="4" xfId="0" applyNumberFormat="1" applyFont="1" applyBorder="1" applyAlignment="1">
      <alignment horizontal="left" vertical="center"/>
    </xf>
    <xf numFmtId="167" fontId="44" fillId="0" borderId="6" xfId="0" applyNumberFormat="1" applyFont="1" applyBorder="1" applyAlignment="1">
      <alignment horizontal="left" vertical="center"/>
    </xf>
    <xf numFmtId="49" fontId="44" fillId="0" borderId="9" xfId="0" applyNumberFormat="1" applyFont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44" fillId="0" borderId="4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168" fontId="44" fillId="0" borderId="9" xfId="0" applyNumberFormat="1" applyFont="1" applyBorder="1" applyAlignment="1">
      <alignment horizontal="center" vertical="center"/>
    </xf>
    <xf numFmtId="168" fontId="44" fillId="0" borderId="10" xfId="0" applyNumberFormat="1" applyFont="1" applyBorder="1" applyAlignment="1">
      <alignment horizontal="center" vertical="center"/>
    </xf>
    <xf numFmtId="168" fontId="44" fillId="0" borderId="11" xfId="0" applyNumberFormat="1" applyFont="1" applyBorder="1" applyAlignment="1">
      <alignment horizontal="center" vertical="center"/>
    </xf>
    <xf numFmtId="168" fontId="44" fillId="0" borderId="3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8" fontId="44" fillId="0" borderId="6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49" fontId="40" fillId="0" borderId="9" xfId="0" applyNumberFormat="1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0" fillId="0" borderId="3" xfId="0" applyFont="1" applyBorder="1" applyAlignment="1">
      <alignment horizontal="left" vertical="center"/>
    </xf>
    <xf numFmtId="0" fontId="40" fillId="0" borderId="4" xfId="0" applyFont="1" applyBorder="1" applyAlignment="1">
      <alignment horizontal="left" vertical="center"/>
    </xf>
    <xf numFmtId="0" fontId="40" fillId="0" borderId="6" xfId="0" applyFont="1" applyBorder="1" applyAlignment="1">
      <alignment horizontal="left" vertical="center"/>
    </xf>
    <xf numFmtId="168" fontId="40" fillId="0" borderId="9" xfId="0" applyNumberFormat="1" applyFont="1" applyBorder="1" applyAlignment="1">
      <alignment horizontal="center" vertical="center"/>
    </xf>
    <xf numFmtId="168" fontId="40" fillId="0" borderId="10" xfId="0" applyNumberFormat="1" applyFont="1" applyBorder="1" applyAlignment="1">
      <alignment horizontal="center" vertical="center"/>
    </xf>
    <xf numFmtId="168" fontId="40" fillId="0" borderId="11" xfId="0" applyNumberFormat="1" applyFont="1" applyBorder="1" applyAlignment="1">
      <alignment horizontal="center" vertical="center"/>
    </xf>
    <xf numFmtId="168" fontId="40" fillId="0" borderId="3" xfId="0" applyNumberFormat="1" applyFont="1" applyBorder="1" applyAlignment="1">
      <alignment horizontal="center" vertical="center"/>
    </xf>
    <xf numFmtId="168" fontId="40" fillId="0" borderId="4" xfId="0" applyNumberFormat="1" applyFont="1" applyBorder="1" applyAlignment="1">
      <alignment horizontal="center" vertical="center"/>
    </xf>
    <xf numFmtId="168" fontId="40" fillId="0" borderId="6" xfId="0" applyNumberFormat="1" applyFont="1" applyBorder="1" applyAlignment="1">
      <alignment horizontal="center" vertical="center"/>
    </xf>
    <xf numFmtId="167" fontId="43" fillId="0" borderId="9" xfId="0" applyNumberFormat="1" applyFont="1" applyBorder="1" applyAlignment="1">
      <alignment horizontal="left" vertical="center"/>
    </xf>
    <xf numFmtId="167" fontId="43" fillId="0" borderId="10" xfId="0" applyNumberFormat="1" applyFont="1" applyBorder="1" applyAlignment="1">
      <alignment horizontal="left" vertical="center"/>
    </xf>
    <xf numFmtId="167" fontId="43" fillId="0" borderId="11" xfId="0" applyNumberFormat="1" applyFont="1" applyBorder="1" applyAlignment="1">
      <alignment horizontal="left" vertical="center"/>
    </xf>
    <xf numFmtId="167" fontId="43" fillId="0" borderId="3" xfId="0" applyNumberFormat="1" applyFont="1" applyBorder="1" applyAlignment="1">
      <alignment horizontal="left" vertical="center"/>
    </xf>
    <xf numFmtId="167" fontId="43" fillId="0" borderId="4" xfId="0" applyNumberFormat="1" applyFont="1" applyBorder="1" applyAlignment="1">
      <alignment horizontal="left" vertical="center"/>
    </xf>
    <xf numFmtId="167" fontId="43" fillId="0" borderId="6" xfId="0" applyNumberFormat="1" applyFont="1" applyBorder="1" applyAlignment="1">
      <alignment horizontal="left" vertical="center"/>
    </xf>
    <xf numFmtId="49" fontId="43" fillId="0" borderId="9" xfId="0" applyNumberFormat="1" applyFont="1" applyBorder="1" applyAlignment="1">
      <alignment horizontal="left" vertical="center"/>
    </xf>
    <xf numFmtId="0" fontId="43" fillId="0" borderId="10" xfId="0" applyFont="1" applyBorder="1" applyAlignment="1">
      <alignment horizontal="left" vertical="center"/>
    </xf>
    <xf numFmtId="0" fontId="43" fillId="0" borderId="11" xfId="0" applyFont="1" applyBorder="1" applyAlignment="1">
      <alignment horizontal="left" vertical="center"/>
    </xf>
    <xf numFmtId="0" fontId="43" fillId="0" borderId="3" xfId="0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43" fillId="0" borderId="6" xfId="0" applyFont="1" applyBorder="1" applyAlignment="1">
      <alignment horizontal="left" vertical="center"/>
    </xf>
    <xf numFmtId="168" fontId="43" fillId="0" borderId="9" xfId="0" applyNumberFormat="1" applyFont="1" applyBorder="1" applyAlignment="1">
      <alignment horizontal="center" vertical="center"/>
    </xf>
    <xf numFmtId="168" fontId="43" fillId="0" borderId="10" xfId="0" applyNumberFormat="1" applyFont="1" applyBorder="1" applyAlignment="1">
      <alignment horizontal="center" vertical="center"/>
    </xf>
    <xf numFmtId="168" fontId="43" fillId="0" borderId="11" xfId="0" applyNumberFormat="1" applyFont="1" applyBorder="1" applyAlignment="1">
      <alignment horizontal="center" vertical="center"/>
    </xf>
    <xf numFmtId="168" fontId="43" fillId="0" borderId="3" xfId="0" applyNumberFormat="1" applyFont="1" applyBorder="1" applyAlignment="1">
      <alignment horizontal="center" vertical="center"/>
    </xf>
    <xf numFmtId="168" fontId="43" fillId="0" borderId="4" xfId="0" applyNumberFormat="1" applyFont="1" applyBorder="1" applyAlignment="1">
      <alignment horizontal="center" vertical="center"/>
    </xf>
    <xf numFmtId="168" fontId="43" fillId="0" borderId="6" xfId="0" applyNumberFormat="1" applyFont="1" applyBorder="1" applyAlignment="1">
      <alignment horizontal="center" vertical="center"/>
    </xf>
    <xf numFmtId="167" fontId="42" fillId="0" borderId="9" xfId="0" applyNumberFormat="1" applyFont="1" applyBorder="1" applyAlignment="1">
      <alignment horizontal="left" vertical="center"/>
    </xf>
    <xf numFmtId="167" fontId="42" fillId="0" borderId="10" xfId="0" applyNumberFormat="1" applyFont="1" applyBorder="1" applyAlignment="1">
      <alignment horizontal="left" vertical="center"/>
    </xf>
    <xf numFmtId="167" fontId="42" fillId="0" borderId="11" xfId="0" applyNumberFormat="1" applyFont="1" applyBorder="1" applyAlignment="1">
      <alignment horizontal="left" vertical="center"/>
    </xf>
    <xf numFmtId="167" fontId="42" fillId="0" borderId="3" xfId="0" applyNumberFormat="1" applyFont="1" applyBorder="1" applyAlignment="1">
      <alignment horizontal="left" vertical="center"/>
    </xf>
    <xf numFmtId="167" fontId="42" fillId="0" borderId="4" xfId="0" applyNumberFormat="1" applyFont="1" applyBorder="1" applyAlignment="1">
      <alignment horizontal="left" vertical="center"/>
    </xf>
    <xf numFmtId="167" fontId="42" fillId="0" borderId="6" xfId="0" applyNumberFormat="1" applyFont="1" applyBorder="1" applyAlignment="1">
      <alignment horizontal="left" vertical="center"/>
    </xf>
    <xf numFmtId="49" fontId="42" fillId="0" borderId="9" xfId="0" applyNumberFormat="1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/>
    </xf>
    <xf numFmtId="0" fontId="42" fillId="0" borderId="11" xfId="0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167" fontId="40" fillId="0" borderId="9" xfId="0" applyNumberFormat="1" applyFont="1" applyBorder="1" applyAlignment="1">
      <alignment horizontal="left" vertical="center"/>
    </xf>
    <xf numFmtId="167" fontId="40" fillId="0" borderId="10" xfId="0" applyNumberFormat="1" applyFont="1" applyBorder="1" applyAlignment="1">
      <alignment horizontal="left" vertical="center"/>
    </xf>
    <xf numFmtId="167" fontId="40" fillId="0" borderId="11" xfId="0" applyNumberFormat="1" applyFont="1" applyBorder="1" applyAlignment="1">
      <alignment horizontal="left" vertical="center"/>
    </xf>
    <xf numFmtId="167" fontId="40" fillId="0" borderId="3" xfId="0" applyNumberFormat="1" applyFont="1" applyBorder="1" applyAlignment="1">
      <alignment horizontal="left" vertical="center"/>
    </xf>
    <xf numFmtId="167" fontId="40" fillId="0" borderId="4" xfId="0" applyNumberFormat="1" applyFont="1" applyBorder="1" applyAlignment="1">
      <alignment horizontal="left" vertical="center"/>
    </xf>
    <xf numFmtId="167" fontId="40" fillId="0" borderId="6" xfId="0" applyNumberFormat="1" applyFont="1" applyBorder="1" applyAlignment="1">
      <alignment horizontal="left" vertical="center"/>
    </xf>
    <xf numFmtId="168" fontId="42" fillId="0" borderId="9" xfId="0" applyNumberFormat="1" applyFont="1" applyBorder="1" applyAlignment="1">
      <alignment horizontal="center" vertical="center"/>
    </xf>
    <xf numFmtId="168" fontId="42" fillId="0" borderId="10" xfId="0" applyNumberFormat="1" applyFont="1" applyBorder="1" applyAlignment="1">
      <alignment horizontal="center" vertical="center"/>
    </xf>
    <xf numFmtId="168" fontId="42" fillId="0" borderId="11" xfId="0" applyNumberFormat="1" applyFont="1" applyBorder="1" applyAlignment="1">
      <alignment horizontal="center" vertical="center"/>
    </xf>
    <xf numFmtId="168" fontId="42" fillId="0" borderId="3" xfId="0" applyNumberFormat="1" applyFont="1" applyBorder="1" applyAlignment="1">
      <alignment horizontal="center" vertical="center"/>
    </xf>
    <xf numFmtId="168" fontId="42" fillId="0" borderId="4" xfId="0" applyNumberFormat="1" applyFont="1" applyBorder="1" applyAlignment="1">
      <alignment horizontal="center" vertical="center"/>
    </xf>
    <xf numFmtId="168" fontId="42" fillId="0" borderId="6" xfId="0" applyNumberFormat="1" applyFont="1" applyBorder="1" applyAlignment="1">
      <alignment horizontal="center" vertical="center"/>
    </xf>
    <xf numFmtId="49" fontId="39" fillId="0" borderId="9" xfId="0" applyNumberFormat="1" applyFont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0" fontId="39" fillId="0" borderId="11" xfId="0" applyFont="1" applyBorder="1" applyAlignment="1">
      <alignment horizontal="left" vertical="center"/>
    </xf>
    <xf numFmtId="0" fontId="39" fillId="0" borderId="3" xfId="0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0" fontId="39" fillId="0" borderId="6" xfId="0" applyFont="1" applyBorder="1" applyAlignment="1">
      <alignment horizontal="left" vertical="center"/>
    </xf>
    <xf numFmtId="168" fontId="39" fillId="0" borderId="9" xfId="0" applyNumberFormat="1" applyFont="1" applyBorder="1" applyAlignment="1">
      <alignment horizontal="center" vertical="center"/>
    </xf>
    <xf numFmtId="168" fontId="39" fillId="0" borderId="10" xfId="0" applyNumberFormat="1" applyFont="1" applyBorder="1" applyAlignment="1">
      <alignment horizontal="center" vertical="center"/>
    </xf>
    <xf numFmtId="168" fontId="39" fillId="0" borderId="11" xfId="0" applyNumberFormat="1" applyFont="1" applyBorder="1" applyAlignment="1">
      <alignment horizontal="center" vertical="center"/>
    </xf>
    <xf numFmtId="168" fontId="39" fillId="0" borderId="3" xfId="0" applyNumberFormat="1" applyFont="1" applyBorder="1" applyAlignment="1">
      <alignment horizontal="center" vertical="center"/>
    </xf>
    <xf numFmtId="168" fontId="39" fillId="0" borderId="4" xfId="0" applyNumberFormat="1" applyFont="1" applyBorder="1" applyAlignment="1">
      <alignment horizontal="center" vertical="center"/>
    </xf>
    <xf numFmtId="168" fontId="39" fillId="0" borderId="6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168" fontId="14" fillId="0" borderId="9" xfId="0" applyNumberFormat="1" applyFont="1" applyBorder="1" applyAlignment="1">
      <alignment horizontal="center" vertical="center"/>
    </xf>
    <xf numFmtId="168" fontId="14" fillId="0" borderId="10" xfId="0" applyNumberFormat="1" applyFont="1" applyBorder="1" applyAlignment="1">
      <alignment horizontal="center" vertical="center"/>
    </xf>
    <xf numFmtId="168" fontId="14" fillId="0" borderId="11" xfId="0" applyNumberFormat="1" applyFont="1" applyBorder="1" applyAlignment="1">
      <alignment horizontal="center" vertical="center"/>
    </xf>
    <xf numFmtId="168" fontId="14" fillId="0" borderId="3" xfId="0" applyNumberFormat="1" applyFont="1" applyBorder="1" applyAlignment="1">
      <alignment horizontal="center" vertical="center"/>
    </xf>
    <xf numFmtId="168" fontId="14" fillId="0" borderId="4" xfId="0" applyNumberFormat="1" applyFont="1" applyBorder="1" applyAlignment="1">
      <alignment horizontal="center" vertical="center"/>
    </xf>
    <xf numFmtId="168" fontId="14" fillId="0" borderId="6" xfId="0" applyNumberFormat="1" applyFont="1" applyBorder="1" applyAlignment="1">
      <alignment horizontal="center" vertical="center"/>
    </xf>
    <xf numFmtId="168" fontId="14" fillId="0" borderId="2" xfId="0" applyNumberFormat="1" applyFont="1" applyBorder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168" fontId="14" fillId="0" borderId="5" xfId="0" applyNumberFormat="1" applyFont="1" applyBorder="1" applyAlignment="1">
      <alignment horizontal="center" vertical="center"/>
    </xf>
    <xf numFmtId="167" fontId="14" fillId="0" borderId="9" xfId="0" applyNumberFormat="1" applyFont="1" applyBorder="1" applyAlignment="1">
      <alignment horizontal="left" vertical="center"/>
    </xf>
    <xf numFmtId="167" fontId="14" fillId="0" borderId="10" xfId="0" applyNumberFormat="1" applyFont="1" applyBorder="1" applyAlignment="1">
      <alignment horizontal="left" vertical="center"/>
    </xf>
    <xf numFmtId="167" fontId="14" fillId="0" borderId="11" xfId="0" applyNumberFormat="1" applyFont="1" applyBorder="1" applyAlignment="1">
      <alignment horizontal="left" vertical="center"/>
    </xf>
    <xf numFmtId="167" fontId="14" fillId="0" borderId="2" xfId="0" applyNumberFormat="1" applyFont="1" applyBorder="1" applyAlignment="1">
      <alignment horizontal="left" vertical="center"/>
    </xf>
    <xf numFmtId="167" fontId="14" fillId="0" borderId="0" xfId="0" applyNumberFormat="1" applyFont="1" applyAlignment="1">
      <alignment horizontal="left" vertical="center"/>
    </xf>
    <xf numFmtId="167" fontId="14" fillId="0" borderId="5" xfId="0" applyNumberFormat="1" applyFont="1" applyBorder="1" applyAlignment="1">
      <alignment horizontal="left" vertical="center"/>
    </xf>
    <xf numFmtId="167" fontId="14" fillId="0" borderId="3" xfId="0" applyNumberFormat="1" applyFont="1" applyBorder="1" applyAlignment="1">
      <alignment horizontal="left" vertical="center"/>
    </xf>
    <xf numFmtId="167" fontId="14" fillId="0" borderId="4" xfId="0" applyNumberFormat="1" applyFont="1" applyBorder="1" applyAlignment="1">
      <alignment horizontal="left" vertical="center"/>
    </xf>
    <xf numFmtId="167" fontId="14" fillId="0" borderId="6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left" vertical="center" wrapText="1"/>
    </xf>
    <xf numFmtId="0" fontId="24" fillId="3" borderId="9" xfId="0" applyFont="1" applyFill="1" applyBorder="1" applyAlignment="1">
      <alignment horizontal="left" vertical="center"/>
    </xf>
    <xf numFmtId="0" fontId="24" fillId="3" borderId="10" xfId="0" applyFont="1" applyFill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0" fontId="24" fillId="3" borderId="11" xfId="0" applyFont="1" applyFill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 wrapText="1"/>
    </xf>
    <xf numFmtId="49" fontId="14" fillId="0" borderId="22" xfId="0" applyNumberFormat="1" applyFont="1" applyBorder="1" applyAlignment="1">
      <alignment horizontal="left" vertical="center" wrapText="1"/>
    </xf>
    <xf numFmtId="49" fontId="14" fillId="0" borderId="23" xfId="0" applyNumberFormat="1" applyFont="1" applyBorder="1" applyAlignment="1">
      <alignment horizontal="left" vertical="center" wrapText="1"/>
    </xf>
    <xf numFmtId="49" fontId="14" fillId="0" borderId="26" xfId="0" applyNumberFormat="1" applyFont="1" applyBorder="1" applyAlignment="1">
      <alignment horizontal="left" vertical="center" wrapText="1"/>
    </xf>
    <xf numFmtId="167" fontId="48" fillId="0" borderId="9" xfId="0" applyNumberFormat="1" applyFont="1" applyBorder="1" applyAlignment="1">
      <alignment horizontal="left" vertical="center"/>
    </xf>
    <xf numFmtId="167" fontId="48" fillId="0" borderId="10" xfId="0" applyNumberFormat="1" applyFont="1" applyBorder="1" applyAlignment="1">
      <alignment horizontal="left" vertical="center"/>
    </xf>
    <xf numFmtId="167" fontId="48" fillId="0" borderId="11" xfId="0" applyNumberFormat="1" applyFont="1" applyBorder="1" applyAlignment="1">
      <alignment horizontal="left" vertical="center"/>
    </xf>
    <xf numFmtId="167" fontId="48" fillId="0" borderId="3" xfId="0" applyNumberFormat="1" applyFont="1" applyBorder="1" applyAlignment="1">
      <alignment horizontal="left" vertical="center"/>
    </xf>
    <xf numFmtId="167" fontId="48" fillId="0" borderId="4" xfId="0" applyNumberFormat="1" applyFont="1" applyBorder="1" applyAlignment="1">
      <alignment horizontal="left" vertical="center"/>
    </xf>
    <xf numFmtId="167" fontId="48" fillId="0" borderId="6" xfId="0" applyNumberFormat="1" applyFont="1" applyBorder="1" applyAlignment="1">
      <alignment horizontal="left" vertical="center"/>
    </xf>
    <xf numFmtId="49" fontId="48" fillId="0" borderId="9" xfId="0" applyNumberFormat="1" applyFont="1" applyBorder="1" applyAlignment="1">
      <alignment horizontal="left" vertical="center"/>
    </xf>
    <xf numFmtId="0" fontId="48" fillId="0" borderId="10" xfId="0" applyFont="1" applyBorder="1" applyAlignment="1">
      <alignment horizontal="left" vertical="center"/>
    </xf>
    <xf numFmtId="0" fontId="48" fillId="0" borderId="11" xfId="0" applyFont="1" applyBorder="1" applyAlignment="1">
      <alignment horizontal="left" vertical="center"/>
    </xf>
    <xf numFmtId="0" fontId="48" fillId="0" borderId="3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0" fontId="48" fillId="0" borderId="6" xfId="0" applyFont="1" applyBorder="1" applyAlignment="1">
      <alignment horizontal="left" vertical="center"/>
    </xf>
    <xf numFmtId="168" fontId="48" fillId="0" borderId="9" xfId="0" applyNumberFormat="1" applyFont="1" applyBorder="1" applyAlignment="1">
      <alignment horizontal="center" vertical="center"/>
    </xf>
    <xf numFmtId="168" fontId="48" fillId="0" borderId="10" xfId="0" applyNumberFormat="1" applyFont="1" applyBorder="1" applyAlignment="1">
      <alignment horizontal="center" vertical="center"/>
    </xf>
    <xf numFmtId="168" fontId="48" fillId="0" borderId="11" xfId="0" applyNumberFormat="1" applyFont="1" applyBorder="1" applyAlignment="1">
      <alignment horizontal="center" vertical="center"/>
    </xf>
    <xf numFmtId="168" fontId="48" fillId="0" borderId="3" xfId="0" applyNumberFormat="1" applyFont="1" applyBorder="1" applyAlignment="1">
      <alignment horizontal="center" vertical="center"/>
    </xf>
    <xf numFmtId="168" fontId="48" fillId="0" borderId="4" xfId="0" applyNumberFormat="1" applyFont="1" applyBorder="1" applyAlignment="1">
      <alignment horizontal="center" vertical="center"/>
    </xf>
    <xf numFmtId="168" fontId="48" fillId="0" borderId="6" xfId="0" applyNumberFormat="1" applyFont="1" applyBorder="1" applyAlignment="1">
      <alignment horizontal="center" vertical="center"/>
    </xf>
    <xf numFmtId="167" fontId="39" fillId="0" borderId="9" xfId="0" applyNumberFormat="1" applyFont="1" applyBorder="1" applyAlignment="1">
      <alignment horizontal="left" vertical="center"/>
    </xf>
    <xf numFmtId="167" fontId="39" fillId="0" borderId="10" xfId="0" applyNumberFormat="1" applyFont="1" applyBorder="1" applyAlignment="1">
      <alignment horizontal="left" vertical="center"/>
    </xf>
    <xf numFmtId="167" fontId="39" fillId="0" borderId="11" xfId="0" applyNumberFormat="1" applyFont="1" applyBorder="1" applyAlignment="1">
      <alignment horizontal="left" vertical="center"/>
    </xf>
    <xf numFmtId="167" fontId="39" fillId="0" borderId="3" xfId="0" applyNumberFormat="1" applyFont="1" applyBorder="1" applyAlignment="1">
      <alignment horizontal="left" vertical="center"/>
    </xf>
    <xf numFmtId="167" fontId="39" fillId="0" borderId="4" xfId="0" applyNumberFormat="1" applyFont="1" applyBorder="1" applyAlignment="1">
      <alignment horizontal="left" vertical="center"/>
    </xf>
    <xf numFmtId="167" fontId="39" fillId="0" borderId="6" xfId="0" applyNumberFormat="1" applyFont="1" applyBorder="1" applyAlignment="1">
      <alignment horizontal="left" vertical="center"/>
    </xf>
    <xf numFmtId="0" fontId="0" fillId="2" borderId="7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20" fillId="2" borderId="7" xfId="0" quotePrefix="1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/>
    </xf>
    <xf numFmtId="0" fontId="20" fillId="2" borderId="9" xfId="0" applyFont="1" applyFill="1" applyBorder="1" applyAlignment="1">
      <alignment horizontal="center" vertical="top"/>
    </xf>
    <xf numFmtId="0" fontId="20" fillId="2" borderId="11" xfId="0" applyFont="1" applyFill="1" applyBorder="1" applyAlignment="1">
      <alignment horizontal="center" vertical="top"/>
    </xf>
    <xf numFmtId="0" fontId="20" fillId="2" borderId="3" xfId="0" applyFont="1" applyFill="1" applyBorder="1" applyAlignment="1">
      <alignment horizontal="center" vertical="top"/>
    </xf>
    <xf numFmtId="0" fontId="20" fillId="2" borderId="6" xfId="0" applyFont="1" applyFill="1" applyBorder="1" applyAlignment="1">
      <alignment horizontal="center" vertical="top"/>
    </xf>
    <xf numFmtId="0" fontId="37" fillId="0" borderId="27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33" xfId="0" applyFont="1" applyBorder="1" applyAlignment="1">
      <alignment horizontal="left" vertical="center"/>
    </xf>
    <xf numFmtId="0" fontId="37" fillId="0" borderId="28" xfId="0" applyFont="1" applyBorder="1" applyAlignment="1">
      <alignment horizontal="left" vertical="center"/>
    </xf>
    <xf numFmtId="0" fontId="37" fillId="0" borderId="32" xfId="0" applyFont="1" applyBorder="1" applyAlignment="1">
      <alignment horizontal="left" vertical="center"/>
    </xf>
    <xf numFmtId="0" fontId="37" fillId="0" borderId="33" xfId="0" quotePrefix="1" applyFont="1" applyBorder="1" applyAlignment="1">
      <alignment horizontal="left" vertical="center"/>
    </xf>
    <xf numFmtId="0" fontId="37" fillId="0" borderId="28" xfId="0" quotePrefix="1" applyFont="1" applyBorder="1" applyAlignment="1">
      <alignment horizontal="left" vertical="center"/>
    </xf>
    <xf numFmtId="0" fontId="37" fillId="0" borderId="29" xfId="0" quotePrefix="1" applyFont="1" applyBorder="1" applyAlignment="1">
      <alignment horizontal="left" vertical="center"/>
    </xf>
    <xf numFmtId="0" fontId="36" fillId="7" borderId="7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0" fillId="0" borderId="28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</cellXfs>
  <cellStyles count="12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  <cellStyle name="パーセント" xfId="10" xr:uid="{00000000-0005-0000-0000-000006000000}"/>
    <cellStyle name="桁区切り" xfId="7" xr:uid="{00000000-0005-0000-0000-000007000000}"/>
    <cellStyle name="桁区切り [0.00]" xfId="6" xr:uid="{00000000-0005-0000-0000-000008000000}"/>
    <cellStyle name="標準_C0001_TOP画面" xfId="11" xr:uid="{00000000-0005-0000-0000-000009000000}"/>
    <cellStyle name="通貨" xfId="9" xr:uid="{00000000-0005-0000-0000-00000B000000}"/>
    <cellStyle name="通貨 [0.00]" xfId="8" xr:uid="{00000000-0005-0000-0000-00000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50021"/>
      <color rgb="FF00B0F0"/>
      <color rgb="FF0000FF"/>
      <color rgb="FFFF00FF"/>
      <color rgb="FF009900"/>
      <color rgb="FF9933FF"/>
      <color rgb="FF000099"/>
      <color rgb="FF3333CC"/>
      <color rgb="FF00CC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101945</xdr:colOff>
      <xdr:row>15</xdr:row>
      <xdr:rowOff>180718</xdr:rowOff>
    </xdr:from>
    <xdr:to>
      <xdr:col>20</xdr:col>
      <xdr:colOff>101945</xdr:colOff>
      <xdr:row>23</xdr:row>
      <xdr:rowOff>90354</xdr:rowOff>
    </xdr:to>
    <xdr:cxnSp macro="">
      <xdr:nvCxnSpPr>
        <xdr:cNvPr id="25" name="直線矢印コネクタ 4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stCxn id="43" idx="2"/>
          <a:endCxn id="73" idx="0"/>
        </xdr:cNvCxnSpPr>
      </xdr:nvCxnSpPr>
      <xdr:spPr>
        <a:xfrm>
          <a:off x="4808416" y="3150277"/>
          <a:ext cx="0" cy="29576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76766</xdr:colOff>
      <xdr:row>42</xdr:row>
      <xdr:rowOff>26854</xdr:rowOff>
    </xdr:from>
    <xdr:to>
      <xdr:col>24</xdr:col>
      <xdr:colOff>152524</xdr:colOff>
      <xdr:row>45</xdr:row>
      <xdr:rowOff>26854</xdr:rowOff>
    </xdr:to>
    <xdr:sp macro="" textlink="">
      <xdr:nvSpPr>
        <xdr:cNvPr id="30" name="四角形: 角を丸くする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3841942" y="6234913"/>
          <a:ext cx="1958347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4.</a:t>
          </a:r>
          <a:r>
            <a:rPr kumimoji="1" lang="vi-VN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 </a:t>
          </a:r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Tạo mảng response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195734</xdr:colOff>
      <xdr:row>7</xdr:row>
      <xdr:rowOff>109817</xdr:rowOff>
    </xdr:from>
    <xdr:to>
      <xdr:col>24</xdr:col>
      <xdr:colOff>5315</xdr:colOff>
      <xdr:row>10</xdr:row>
      <xdr:rowOff>5042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4056534" y="8809317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START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212170</xdr:colOff>
      <xdr:row>47</xdr:row>
      <xdr:rowOff>108315</xdr:rowOff>
    </xdr:from>
    <xdr:to>
      <xdr:col>24</xdr:col>
      <xdr:colOff>21751</xdr:colOff>
      <xdr:row>49</xdr:row>
      <xdr:rowOff>117840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4072970" y="14027515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END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100524</xdr:colOff>
      <xdr:row>10</xdr:row>
      <xdr:rowOff>5042</xdr:rowOff>
    </xdr:from>
    <xdr:to>
      <xdr:col>20</xdr:col>
      <xdr:colOff>101945</xdr:colOff>
      <xdr:row>12</xdr:row>
      <xdr:rowOff>180718</xdr:rowOff>
    </xdr:to>
    <xdr:cxnSp macro="">
      <xdr:nvCxnSpPr>
        <xdr:cNvPr id="36" name="直線矢印コネクタ 4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34" idx="4"/>
          <a:endCxn id="43" idx="0"/>
        </xdr:cNvCxnSpPr>
      </xdr:nvCxnSpPr>
      <xdr:spPr>
        <a:xfrm>
          <a:off x="4926524" y="9276042"/>
          <a:ext cx="1421" cy="55667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114645</xdr:colOff>
      <xdr:row>45</xdr:row>
      <xdr:rowOff>26854</xdr:rowOff>
    </xdr:from>
    <xdr:to>
      <xdr:col>20</xdr:col>
      <xdr:colOff>116961</xdr:colOff>
      <xdr:row>47</xdr:row>
      <xdr:rowOff>108315</xdr:rowOff>
    </xdr:to>
    <xdr:cxnSp macro="">
      <xdr:nvCxnSpPr>
        <xdr:cNvPr id="38" name="直線矢印コネクタ 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30" idx="2"/>
          <a:endCxn id="35" idx="0"/>
        </xdr:cNvCxnSpPr>
      </xdr:nvCxnSpPr>
      <xdr:spPr>
        <a:xfrm>
          <a:off x="4940645" y="13488854"/>
          <a:ext cx="2316" cy="5386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64066</xdr:colOff>
      <xdr:row>12</xdr:row>
      <xdr:rowOff>180718</xdr:rowOff>
    </xdr:from>
    <xdr:to>
      <xdr:col>24</xdr:col>
      <xdr:colOff>139824</xdr:colOff>
      <xdr:row>15</xdr:row>
      <xdr:rowOff>180718</xdr:rowOff>
    </xdr:to>
    <xdr:sp macro="" textlink="">
      <xdr:nvSpPr>
        <xdr:cNvPr id="43" name="四角形: 角を丸くする 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924866" y="9832718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1</a:t>
          </a:r>
          <a:r>
            <a:rPr kumimoji="1" lang="vi-VN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. </a:t>
          </a:r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Validate parameter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64066</xdr:colOff>
      <xdr:row>23</xdr:row>
      <xdr:rowOff>90354</xdr:rowOff>
    </xdr:from>
    <xdr:to>
      <xdr:col>24</xdr:col>
      <xdr:colOff>139824</xdr:colOff>
      <xdr:row>26</xdr:row>
      <xdr:rowOff>90354</xdr:rowOff>
    </xdr:to>
    <xdr:sp macro="" textlink="">
      <xdr:nvSpPr>
        <xdr:cNvPr id="73" name="四角形: 角を丸くする 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3924866" y="103138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2. update nhân viên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101945</xdr:colOff>
      <xdr:row>26</xdr:row>
      <xdr:rowOff>90354</xdr:rowOff>
    </xdr:from>
    <xdr:to>
      <xdr:col>20</xdr:col>
      <xdr:colOff>114645</xdr:colOff>
      <xdr:row>42</xdr:row>
      <xdr:rowOff>26854</xdr:rowOff>
    </xdr:to>
    <xdr:cxnSp macro="">
      <xdr:nvCxnSpPr>
        <xdr:cNvPr id="47" name="直線矢印コネクタ 42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cxnSpLocks/>
          <a:stCxn id="73" idx="2"/>
          <a:endCxn id="30" idx="0"/>
        </xdr:cNvCxnSpPr>
      </xdr:nvCxnSpPr>
      <xdr:spPr>
        <a:xfrm>
          <a:off x="4808416" y="6679413"/>
          <a:ext cx="12700" cy="62230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18</xdr:row>
      <xdr:rowOff>114300</xdr:rowOff>
    </xdr:from>
    <xdr:to>
      <xdr:col>11</xdr:col>
      <xdr:colOff>59821</xdr:colOff>
      <xdr:row>31</xdr:row>
      <xdr:rowOff>0</xdr:rowOff>
    </xdr:to>
    <xdr:sp macro="" textlink="">
      <xdr:nvSpPr>
        <xdr:cNvPr id="69" name="フローチャート : 磁気ディスク 36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571500" y="5194300"/>
          <a:ext cx="2142621" cy="2463800"/>
        </a:xfrm>
        <a:prstGeom prst="flowChartMagneticDisk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employees</a:t>
          </a:r>
        </a:p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employees_certifications</a:t>
          </a:r>
        </a:p>
      </xdr:txBody>
    </xdr:sp>
    <xdr:clientData/>
  </xdr:twoCellAnchor>
  <xdr:twoCellAnchor>
    <xdr:from>
      <xdr:col>11</xdr:col>
      <xdr:colOff>59821</xdr:colOff>
      <xdr:row>24</xdr:row>
      <xdr:rowOff>185604</xdr:rowOff>
    </xdr:from>
    <xdr:to>
      <xdr:col>16</xdr:col>
      <xdr:colOff>64066</xdr:colOff>
      <xdr:row>25</xdr:row>
      <xdr:rowOff>12700</xdr:rowOff>
    </xdr:to>
    <xdr:cxnSp macro="">
      <xdr:nvCxnSpPr>
        <xdr:cNvPr id="70" name="曲線コネクタ 4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stCxn id="69" idx="4"/>
          <a:endCxn id="73" idx="1"/>
        </xdr:cNvCxnSpPr>
      </xdr:nvCxnSpPr>
      <xdr:spPr>
        <a:xfrm flipV="1">
          <a:off x="2714121" y="6408604"/>
          <a:ext cx="1210745" cy="17596"/>
        </a:xfrm>
        <a:prstGeom prst="curvedConnector3">
          <a:avLst>
            <a:gd name="adj1" fmla="val 50000"/>
          </a:avLst>
        </a:prstGeom>
        <a:ln w="127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89648</xdr:colOff>
      <xdr:row>31</xdr:row>
      <xdr:rowOff>145677</xdr:rowOff>
    </xdr:from>
    <xdr:to>
      <xdr:col>24</xdr:col>
      <xdr:colOff>165406</xdr:colOff>
      <xdr:row>34</xdr:row>
      <xdr:rowOff>145677</xdr:rowOff>
    </xdr:to>
    <xdr:sp macro="" textlink="">
      <xdr:nvSpPr>
        <xdr:cNvPr id="5" name="四角形: 角を丸くする 2">
          <a:extLst>
            <a:ext uri="{FF2B5EF4-FFF2-40B4-BE49-F238E27FC236}">
              <a16:creationId xmlns:a16="http://schemas.microsoft.com/office/drawing/2014/main" id="{1F581EBD-F20E-4FE2-8F08-7744C4516594}"/>
            </a:ext>
          </a:extLst>
        </xdr:cNvPr>
        <xdr:cNvSpPr/>
      </xdr:nvSpPr>
      <xdr:spPr>
        <a:xfrm>
          <a:off x="3854824" y="6163236"/>
          <a:ext cx="1958347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3. Update thông tin chứng chỉ tiếng Nhật của nhân viên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192023</xdr:colOff>
      <xdr:row>30</xdr:row>
      <xdr:rowOff>190499</xdr:rowOff>
    </xdr:from>
    <xdr:to>
      <xdr:col>16</xdr:col>
      <xdr:colOff>129807</xdr:colOff>
      <xdr:row>33</xdr:row>
      <xdr:rowOff>10044</xdr:rowOff>
    </xdr:to>
    <xdr:cxnSp macro="">
      <xdr:nvCxnSpPr>
        <xdr:cNvPr id="2" name="曲線コネクタ 41">
          <a:extLst>
            <a:ext uri="{FF2B5EF4-FFF2-40B4-BE49-F238E27FC236}">
              <a16:creationId xmlns:a16="http://schemas.microsoft.com/office/drawing/2014/main" id="{34C369F3-E8EB-4EA1-8B77-0DC9D53B77F0}"/>
            </a:ext>
          </a:extLst>
        </xdr:cNvPr>
        <xdr:cNvCxnSpPr>
          <a:stCxn id="69" idx="3"/>
        </xdr:cNvCxnSpPr>
      </xdr:nvCxnSpPr>
      <xdr:spPr>
        <a:xfrm rot="16200000" flipH="1">
          <a:off x="2553951" y="5067571"/>
          <a:ext cx="391045" cy="2291019"/>
        </a:xfrm>
        <a:prstGeom prst="curvedConnector2">
          <a:avLst/>
        </a:prstGeom>
        <a:ln w="127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55"/>
  <sheetViews>
    <sheetView showGridLines="0" tabSelected="1" view="pageBreakPreview" zoomScaleNormal="75" zoomScaleSheetLayoutView="100" workbookViewId="0">
      <selection sqref="A1:J1"/>
    </sheetView>
  </sheetViews>
  <sheetFormatPr defaultColWidth="9" defaultRowHeight="15.75"/>
  <cols>
    <col min="1" max="63" width="2.77734375" customWidth="1"/>
  </cols>
  <sheetData>
    <row r="1" spans="1:63" ht="24.95" customHeight="1">
      <c r="A1" s="297" t="s">
        <v>25</v>
      </c>
      <c r="B1" s="298"/>
      <c r="C1" s="298"/>
      <c r="D1" s="298"/>
      <c r="E1" s="298"/>
      <c r="F1" s="298"/>
      <c r="G1" s="298"/>
      <c r="H1" s="298"/>
      <c r="I1" s="298"/>
      <c r="J1" s="299"/>
      <c r="K1" s="297" t="s">
        <v>26</v>
      </c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9"/>
      <c r="W1" s="300" t="s">
        <v>24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297" t="s">
        <v>18</v>
      </c>
      <c r="AQ1" s="298"/>
      <c r="AR1" s="298"/>
      <c r="AS1" s="299"/>
      <c r="AT1" s="297" t="s">
        <v>19</v>
      </c>
      <c r="AU1" s="298"/>
      <c r="AV1" s="298"/>
      <c r="AW1" s="298"/>
      <c r="AX1" s="299"/>
      <c r="AY1" s="297" t="s">
        <v>20</v>
      </c>
      <c r="AZ1" s="298"/>
      <c r="BA1" s="298"/>
      <c r="BB1" s="299"/>
      <c r="BC1" s="297" t="s">
        <v>21</v>
      </c>
      <c r="BD1" s="298"/>
      <c r="BE1" s="298"/>
      <c r="BF1" s="298"/>
      <c r="BG1" s="299"/>
      <c r="BH1" s="297" t="s">
        <v>2</v>
      </c>
      <c r="BI1" s="298"/>
      <c r="BJ1" s="298"/>
      <c r="BK1" s="299"/>
    </row>
    <row r="2" spans="1:63" ht="15" customHeight="1">
      <c r="A2" s="291" t="s">
        <v>82</v>
      </c>
      <c r="B2" s="292"/>
      <c r="C2" s="292"/>
      <c r="D2" s="292"/>
      <c r="E2" s="292"/>
      <c r="F2" s="292"/>
      <c r="G2" s="292"/>
      <c r="H2" s="292"/>
      <c r="I2" s="292"/>
      <c r="J2" s="293"/>
      <c r="K2" s="291" t="s">
        <v>244</v>
      </c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3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313" t="s">
        <v>83</v>
      </c>
      <c r="AQ2" s="292"/>
      <c r="AR2" s="292"/>
      <c r="AS2" s="293"/>
      <c r="AT2" s="314">
        <v>44930</v>
      </c>
      <c r="AU2" s="315"/>
      <c r="AV2" s="315"/>
      <c r="AW2" s="315"/>
      <c r="AX2" s="316"/>
      <c r="AY2" s="313" t="str">
        <f>LOOKUP(2,1/('Lịch sử thay đổi'!H:H&lt;&gt;""),'Lịch sử thay đổi'!H:H)</f>
        <v>ThanhPD</v>
      </c>
      <c r="AZ2" s="292"/>
      <c r="BA2" s="292"/>
      <c r="BB2" s="293"/>
      <c r="BC2" s="314">
        <f>LOOKUP(2,1/('Lịch sử thay đổi'!B:B&lt;&gt;""),'Lịch sử thay đổi'!B:B)</f>
        <v>44930</v>
      </c>
      <c r="BD2" s="315"/>
      <c r="BE2" s="315"/>
      <c r="BF2" s="315"/>
      <c r="BG2" s="316"/>
      <c r="BH2" s="313">
        <f>LOOKUP(2,1/('Lịch sử thay đổi'!O:O&lt;&gt;""),'Lịch sử thay đổi'!O:O)</f>
        <v>0.1</v>
      </c>
      <c r="BI2" s="292"/>
      <c r="BJ2" s="292"/>
      <c r="BK2" s="293"/>
    </row>
    <row r="3" spans="1:63" ht="15" customHeight="1">
      <c r="A3" s="294"/>
      <c r="B3" s="295"/>
      <c r="C3" s="295"/>
      <c r="D3" s="295"/>
      <c r="E3" s="295"/>
      <c r="F3" s="295"/>
      <c r="G3" s="295"/>
      <c r="H3" s="295"/>
      <c r="I3" s="295"/>
      <c r="J3" s="296"/>
      <c r="K3" s="294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6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294"/>
      <c r="AQ3" s="295"/>
      <c r="AR3" s="295"/>
      <c r="AS3" s="296"/>
      <c r="AT3" s="317"/>
      <c r="AU3" s="318"/>
      <c r="AV3" s="318"/>
      <c r="AW3" s="318"/>
      <c r="AX3" s="319"/>
      <c r="AY3" s="294"/>
      <c r="AZ3" s="295"/>
      <c r="BA3" s="295"/>
      <c r="BB3" s="296"/>
      <c r="BC3" s="317"/>
      <c r="BD3" s="318"/>
      <c r="BE3" s="318"/>
      <c r="BF3" s="318"/>
      <c r="BG3" s="319"/>
      <c r="BH3" s="294"/>
      <c r="BI3" s="295"/>
      <c r="BJ3" s="295"/>
      <c r="BK3" s="296"/>
    </row>
    <row r="4" spans="1:63" ht="24.95" customHeight="1">
      <c r="A4" s="297" t="s">
        <v>17</v>
      </c>
      <c r="B4" s="298"/>
      <c r="C4" s="298"/>
      <c r="D4" s="298"/>
      <c r="E4" s="298"/>
      <c r="F4" s="298"/>
      <c r="G4" s="299"/>
      <c r="H4" s="312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297" t="s">
        <v>22</v>
      </c>
      <c r="V4" s="298"/>
      <c r="W4" s="298"/>
      <c r="X4" s="298"/>
      <c r="Y4" s="299"/>
      <c r="Z4" s="312" t="s">
        <v>143</v>
      </c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1"/>
      <c r="AP4" s="309" t="s">
        <v>23</v>
      </c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1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8"/>
      <c r="BK6" s="11"/>
    </row>
    <row r="7" spans="1:63" ht="15" customHeight="1">
      <c r="A7" s="8"/>
      <c r="BK7" s="11"/>
    </row>
    <row r="8" spans="1:63" ht="15" customHeight="1">
      <c r="A8" s="8"/>
      <c r="BK8" s="11"/>
    </row>
    <row r="9" spans="1:63" ht="15" customHeight="1">
      <c r="A9" s="8"/>
      <c r="BK9" s="11"/>
    </row>
    <row r="10" spans="1:63" ht="15" customHeight="1">
      <c r="A10" s="8"/>
      <c r="BK10" s="11"/>
    </row>
    <row r="11" spans="1:63" ht="15" customHeight="1">
      <c r="A11" s="8"/>
      <c r="BK11" s="11"/>
    </row>
    <row r="12" spans="1:63" ht="15" customHeight="1">
      <c r="A12" s="8"/>
      <c r="BK12" s="11"/>
    </row>
    <row r="13" spans="1:63" ht="15" customHeight="1">
      <c r="A13" s="8"/>
      <c r="BK13" s="11"/>
    </row>
    <row r="14" spans="1:63" ht="15" customHeight="1">
      <c r="A14" s="8"/>
      <c r="BK14" s="11"/>
    </row>
    <row r="15" spans="1:63" ht="15" customHeight="1">
      <c r="A15" s="8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8"/>
      <c r="BK15" s="11"/>
    </row>
    <row r="16" spans="1:63" ht="15" customHeight="1">
      <c r="A16" s="8"/>
      <c r="K16" s="13"/>
      <c r="L16" s="289" t="s">
        <v>82</v>
      </c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0"/>
      <c r="AR16" s="290"/>
      <c r="AS16" s="290"/>
      <c r="AT16" s="290"/>
      <c r="AU16" s="290"/>
      <c r="AV16" s="290"/>
      <c r="AW16" s="290"/>
      <c r="AX16" s="290"/>
      <c r="AY16" s="290"/>
      <c r="AZ16" s="290"/>
      <c r="BA16" s="19"/>
      <c r="BK16" s="11"/>
    </row>
    <row r="17" spans="1:63" ht="15" customHeight="1">
      <c r="A17" s="8"/>
      <c r="K17" s="13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290"/>
      <c r="AV17" s="290"/>
      <c r="AW17" s="290"/>
      <c r="AX17" s="290"/>
      <c r="AY17" s="290"/>
      <c r="AZ17" s="290"/>
      <c r="BA17" s="19"/>
      <c r="BK17" s="11"/>
    </row>
    <row r="18" spans="1:63" ht="15" customHeight="1">
      <c r="A18" s="8"/>
      <c r="K18" s="13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0"/>
      <c r="AR18" s="290"/>
      <c r="AS18" s="290"/>
      <c r="AT18" s="290"/>
      <c r="AU18" s="290"/>
      <c r="AV18" s="290"/>
      <c r="AW18" s="290"/>
      <c r="AX18" s="290"/>
      <c r="AY18" s="290"/>
      <c r="AZ18" s="290"/>
      <c r="BA18" s="19"/>
      <c r="BK18" s="11"/>
    </row>
    <row r="19" spans="1:63" ht="15" customHeight="1">
      <c r="A19" s="8"/>
      <c r="K19" s="13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0"/>
      <c r="AR19" s="290"/>
      <c r="AS19" s="290"/>
      <c r="AT19" s="290"/>
      <c r="AU19" s="290"/>
      <c r="AV19" s="290"/>
      <c r="AW19" s="290"/>
      <c r="AX19" s="290"/>
      <c r="AY19" s="290"/>
      <c r="AZ19" s="290"/>
      <c r="BA19" s="19"/>
      <c r="BK19" s="11"/>
    </row>
    <row r="20" spans="1:63" ht="15" customHeight="1">
      <c r="A20" s="8"/>
      <c r="K20" s="13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19"/>
      <c r="BK20" s="11"/>
    </row>
    <row r="21" spans="1:63" ht="15" customHeight="1">
      <c r="A21" s="8"/>
      <c r="K21" s="13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0"/>
      <c r="AX21" s="290"/>
      <c r="AY21" s="290"/>
      <c r="AZ21" s="290"/>
      <c r="BA21" s="19"/>
      <c r="BK21" s="11"/>
    </row>
    <row r="22" spans="1:63" ht="15" customHeight="1">
      <c r="A22" s="8"/>
      <c r="K22" s="13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19"/>
      <c r="BK22" s="11"/>
    </row>
    <row r="23" spans="1:63" ht="15" customHeight="1">
      <c r="A23" s="8"/>
      <c r="K23" s="1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19"/>
      <c r="BK23" s="11"/>
    </row>
    <row r="24" spans="1:63" ht="15" customHeight="1">
      <c r="A24" s="8"/>
      <c r="K24" s="13"/>
      <c r="L24" s="290" t="str">
        <f>K2&amp;"/"&amp;H4&amp;"/"&amp;Z4</f>
        <v>Thiết kế API//Update Employee</v>
      </c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19"/>
      <c r="BK24" s="11"/>
    </row>
    <row r="25" spans="1:63" ht="15" customHeight="1">
      <c r="A25" s="8"/>
      <c r="K25" s="13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0"/>
      <c r="AR25" s="290"/>
      <c r="AS25" s="290"/>
      <c r="AT25" s="290"/>
      <c r="AU25" s="290"/>
      <c r="AV25" s="290"/>
      <c r="AW25" s="290"/>
      <c r="AX25" s="290"/>
      <c r="AY25" s="290"/>
      <c r="AZ25" s="290"/>
      <c r="BA25" s="19"/>
      <c r="BK25" s="11"/>
    </row>
    <row r="26" spans="1:63" ht="15" customHeight="1">
      <c r="A26" s="8"/>
      <c r="K26" s="13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19"/>
      <c r="BK26" s="11"/>
    </row>
    <row r="27" spans="1:63" ht="15" customHeight="1">
      <c r="A27" s="8"/>
      <c r="K27" s="13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0"/>
      <c r="AR27" s="290"/>
      <c r="AS27" s="290"/>
      <c r="AT27" s="290"/>
      <c r="AU27" s="290"/>
      <c r="AV27" s="290"/>
      <c r="AW27" s="290"/>
      <c r="AX27" s="290"/>
      <c r="AY27" s="290"/>
      <c r="AZ27" s="290"/>
      <c r="BA27" s="19"/>
      <c r="BK27" s="11"/>
    </row>
    <row r="28" spans="1:63" ht="15" customHeight="1">
      <c r="A28" s="8"/>
      <c r="K28" s="13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0"/>
      <c r="AR28" s="290"/>
      <c r="AS28" s="290"/>
      <c r="AT28" s="290"/>
      <c r="AU28" s="290"/>
      <c r="AV28" s="290"/>
      <c r="AW28" s="290"/>
      <c r="AX28" s="290"/>
      <c r="AY28" s="290"/>
      <c r="AZ28" s="290"/>
      <c r="BA28" s="19"/>
      <c r="BK28" s="11"/>
    </row>
    <row r="29" spans="1:63" ht="15" customHeight="1">
      <c r="A29" s="8"/>
      <c r="K29" s="13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19"/>
      <c r="BK29" s="11"/>
    </row>
    <row r="30" spans="1:63" ht="15" customHeight="1">
      <c r="A30" s="8"/>
      <c r="K30" s="13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90"/>
      <c r="AB30" s="290"/>
      <c r="AC30" s="290"/>
      <c r="AD30" s="290"/>
      <c r="AE30" s="290"/>
      <c r="AF30" s="290"/>
      <c r="AG30" s="290"/>
      <c r="AH30" s="290"/>
      <c r="AI30" s="290"/>
      <c r="AJ30" s="290"/>
      <c r="AK30" s="290"/>
      <c r="AL30" s="290"/>
      <c r="AM30" s="290"/>
      <c r="AN30" s="290"/>
      <c r="AO30" s="290"/>
      <c r="AP30" s="290"/>
      <c r="AQ30" s="290"/>
      <c r="AR30" s="290"/>
      <c r="AS30" s="290"/>
      <c r="AT30" s="290"/>
      <c r="AU30" s="290"/>
      <c r="AV30" s="290"/>
      <c r="AW30" s="290"/>
      <c r="AX30" s="290"/>
      <c r="AY30" s="290"/>
      <c r="AZ30" s="290"/>
      <c r="BA30" s="19"/>
      <c r="BK30" s="11"/>
    </row>
    <row r="31" spans="1:63" ht="15" customHeight="1">
      <c r="A31" s="8"/>
      <c r="K31" s="13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90"/>
      <c r="AO31" s="290"/>
      <c r="AP31" s="290"/>
      <c r="AQ31" s="290"/>
      <c r="AR31" s="290"/>
      <c r="AS31" s="290"/>
      <c r="AT31" s="290"/>
      <c r="AU31" s="290"/>
      <c r="AV31" s="290"/>
      <c r="AW31" s="290"/>
      <c r="AX31" s="290"/>
      <c r="AY31" s="290"/>
      <c r="AZ31" s="290"/>
      <c r="BA31" s="19"/>
      <c r="BK31" s="11"/>
    </row>
    <row r="32" spans="1:63" ht="15" customHeight="1">
      <c r="A32" s="8"/>
      <c r="K32" s="13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0"/>
      <c r="AH32" s="290"/>
      <c r="AI32" s="290"/>
      <c r="AJ32" s="290"/>
      <c r="AK32" s="290"/>
      <c r="AL32" s="290"/>
      <c r="AM32" s="290"/>
      <c r="AN32" s="290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19"/>
      <c r="BK32" s="11"/>
    </row>
    <row r="33" spans="1:63" ht="15" customHeight="1">
      <c r="A33" s="8"/>
      <c r="K33" s="13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90"/>
      <c r="AB33" s="290"/>
      <c r="AC33" s="290"/>
      <c r="AD33" s="290"/>
      <c r="AE33" s="290"/>
      <c r="AF33" s="290"/>
      <c r="AG33" s="290"/>
      <c r="AH33" s="290"/>
      <c r="AI33" s="290"/>
      <c r="AJ33" s="290"/>
      <c r="AK33" s="290"/>
      <c r="AL33" s="290"/>
      <c r="AM33" s="290"/>
      <c r="AN33" s="290"/>
      <c r="AO33" s="290"/>
      <c r="AP33" s="290"/>
      <c r="AQ33" s="290"/>
      <c r="AR33" s="290"/>
      <c r="AS33" s="290"/>
      <c r="AT33" s="290"/>
      <c r="AU33" s="290"/>
      <c r="AV33" s="290"/>
      <c r="AW33" s="290"/>
      <c r="AX33" s="290"/>
      <c r="AY33" s="290"/>
      <c r="AZ33" s="290"/>
      <c r="BA33" s="19"/>
      <c r="BK33" s="11"/>
    </row>
    <row r="34" spans="1:63" ht="15" customHeight="1">
      <c r="A34" s="8"/>
      <c r="K34" s="13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0"/>
      <c r="W34" s="290"/>
      <c r="X34" s="290"/>
      <c r="Y34" s="290"/>
      <c r="Z34" s="290"/>
      <c r="AA34" s="290"/>
      <c r="AB34" s="290"/>
      <c r="AC34" s="290"/>
      <c r="AD34" s="290"/>
      <c r="AE34" s="290"/>
      <c r="AF34" s="290"/>
      <c r="AG34" s="290"/>
      <c r="AH34" s="290"/>
      <c r="AI34" s="290"/>
      <c r="AJ34" s="290"/>
      <c r="AK34" s="290"/>
      <c r="AL34" s="290"/>
      <c r="AM34" s="290"/>
      <c r="AN34" s="290"/>
      <c r="AO34" s="290"/>
      <c r="AP34" s="290"/>
      <c r="AQ34" s="290"/>
      <c r="AR34" s="290"/>
      <c r="AS34" s="290"/>
      <c r="AT34" s="290"/>
      <c r="AU34" s="290"/>
      <c r="AV34" s="290"/>
      <c r="AW34" s="290"/>
      <c r="AX34" s="290"/>
      <c r="AY34" s="290"/>
      <c r="AZ34" s="290"/>
      <c r="BA34" s="19"/>
      <c r="BK34" s="11"/>
    </row>
    <row r="35" spans="1:63" ht="15" customHeight="1">
      <c r="A35" s="8"/>
      <c r="K35" s="13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0"/>
      <c r="AH35" s="290"/>
      <c r="AI35" s="290"/>
      <c r="AJ35" s="290"/>
      <c r="AK35" s="290"/>
      <c r="AL35" s="290"/>
      <c r="AM35" s="290"/>
      <c r="AN35" s="290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19"/>
      <c r="BK35" s="11"/>
    </row>
    <row r="36" spans="1:63" ht="15" customHeight="1">
      <c r="A36" s="8"/>
      <c r="K36" s="13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290"/>
      <c r="AQ36" s="290"/>
      <c r="AR36" s="290"/>
      <c r="AS36" s="290"/>
      <c r="AT36" s="290"/>
      <c r="AU36" s="290"/>
      <c r="AV36" s="290"/>
      <c r="AW36" s="290"/>
      <c r="AX36" s="290"/>
      <c r="AY36" s="290"/>
      <c r="AZ36" s="290"/>
      <c r="BA36" s="19"/>
      <c r="BK36" s="11"/>
    </row>
    <row r="37" spans="1:63" ht="15" customHeight="1">
      <c r="A37" s="8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20"/>
      <c r="BK37" s="11"/>
    </row>
    <row r="38" spans="1:63" ht="15" customHeight="1">
      <c r="A38" s="8"/>
      <c r="BK38" s="11"/>
    </row>
    <row r="39" spans="1:63" ht="15" customHeight="1">
      <c r="A39" s="8"/>
      <c r="BK39" s="11"/>
    </row>
    <row r="40" spans="1:63" ht="15" customHeight="1">
      <c r="A40" s="8"/>
      <c r="BK40" s="11"/>
    </row>
    <row r="41" spans="1:63" ht="15" customHeight="1">
      <c r="A41" s="8"/>
      <c r="BK41" s="11"/>
    </row>
    <row r="42" spans="1:63" ht="15" customHeight="1">
      <c r="A42" s="8"/>
      <c r="BK42" s="11"/>
    </row>
    <row r="43" spans="1:63" ht="15" customHeight="1">
      <c r="A43" s="8"/>
      <c r="BK43" s="11"/>
    </row>
    <row r="44" spans="1:63" ht="15" customHeight="1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0" t="s">
        <v>40</v>
      </c>
      <c r="R44" s="321"/>
      <c r="S44" s="321"/>
      <c r="T44" s="321"/>
      <c r="U44" s="321"/>
      <c r="V44" s="321"/>
      <c r="W44" s="321"/>
      <c r="X44" s="321"/>
      <c r="Y44" s="321"/>
      <c r="Z44" s="322"/>
      <c r="AA44" s="320" t="s">
        <v>41</v>
      </c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  <c r="AN44" s="321"/>
      <c r="AO44" s="321"/>
      <c r="AP44" s="322"/>
      <c r="AQ44" s="320" t="s">
        <v>42</v>
      </c>
      <c r="AR44" s="321"/>
      <c r="AS44" s="321"/>
      <c r="AT44" s="321"/>
      <c r="AU44" s="322"/>
      <c r="AV44" s="32"/>
      <c r="AW44" s="32"/>
      <c r="AX44" s="32"/>
      <c r="AY44" s="32"/>
      <c r="AZ44" s="32"/>
      <c r="BA44" s="32"/>
      <c r="BB44" s="32"/>
      <c r="BK44" s="11"/>
    </row>
    <row r="45" spans="1:63" ht="15" customHeight="1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3"/>
      <c r="R45" s="324"/>
      <c r="S45" s="324"/>
      <c r="T45" s="324"/>
      <c r="U45" s="324"/>
      <c r="V45" s="324"/>
      <c r="W45" s="324"/>
      <c r="X45" s="324"/>
      <c r="Y45" s="324"/>
      <c r="Z45" s="325"/>
      <c r="AA45" s="323"/>
      <c r="AB45" s="324"/>
      <c r="AC45" s="324"/>
      <c r="AD45" s="324"/>
      <c r="AE45" s="324"/>
      <c r="AF45" s="324"/>
      <c r="AG45" s="324"/>
      <c r="AH45" s="324"/>
      <c r="AI45" s="324"/>
      <c r="AJ45" s="324"/>
      <c r="AK45" s="324"/>
      <c r="AL45" s="324"/>
      <c r="AM45" s="324"/>
      <c r="AN45" s="324"/>
      <c r="AO45" s="324"/>
      <c r="AP45" s="325"/>
      <c r="AQ45" s="323"/>
      <c r="AR45" s="324"/>
      <c r="AS45" s="324"/>
      <c r="AT45" s="324"/>
      <c r="AU45" s="325"/>
      <c r="AV45" s="32"/>
      <c r="AW45" s="32"/>
      <c r="AX45" s="32"/>
      <c r="AY45" s="32"/>
      <c r="AZ45" s="32"/>
      <c r="BA45" s="32"/>
      <c r="BB45" s="32"/>
      <c r="BK45" s="11"/>
    </row>
    <row r="46" spans="1:63" ht="15" customHeight="1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13"/>
      <c r="R46" s="292"/>
      <c r="S46" s="292"/>
      <c r="T46" s="292"/>
      <c r="U46" s="292"/>
      <c r="V46" s="292"/>
      <c r="W46" s="292"/>
      <c r="X46" s="292"/>
      <c r="Y46" s="292"/>
      <c r="Z46" s="293"/>
      <c r="AA46" s="313"/>
      <c r="AB46" s="292"/>
      <c r="AC46" s="292"/>
      <c r="AD46" s="292"/>
      <c r="AE46" s="292"/>
      <c r="AF46" s="292"/>
      <c r="AG46" s="292"/>
      <c r="AH46" s="292"/>
      <c r="AI46" s="292"/>
      <c r="AJ46" s="292"/>
      <c r="AK46" s="292"/>
      <c r="AL46" s="292"/>
      <c r="AM46" s="292"/>
      <c r="AN46" s="292"/>
      <c r="AO46" s="292"/>
      <c r="AP46" s="293"/>
      <c r="AQ46" s="313"/>
      <c r="AR46" s="292"/>
      <c r="AS46" s="292"/>
      <c r="AT46" s="292"/>
      <c r="AU46" s="293"/>
      <c r="AV46" s="32"/>
      <c r="AW46" s="32"/>
      <c r="AX46" s="32"/>
      <c r="AY46" s="32"/>
      <c r="AZ46" s="32"/>
      <c r="BA46" s="32"/>
      <c r="BB46" s="32"/>
      <c r="BK46" s="11"/>
    </row>
    <row r="47" spans="1:63" ht="15" customHeight="1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6"/>
      <c r="R47" s="327"/>
      <c r="S47" s="327"/>
      <c r="T47" s="327"/>
      <c r="U47" s="327"/>
      <c r="V47" s="327"/>
      <c r="W47" s="327"/>
      <c r="X47" s="327"/>
      <c r="Y47" s="327"/>
      <c r="Z47" s="328"/>
      <c r="AA47" s="326"/>
      <c r="AB47" s="327"/>
      <c r="AC47" s="327"/>
      <c r="AD47" s="327"/>
      <c r="AE47" s="327"/>
      <c r="AF47" s="327"/>
      <c r="AG47" s="327"/>
      <c r="AH47" s="327"/>
      <c r="AI47" s="327"/>
      <c r="AJ47" s="327"/>
      <c r="AK47" s="327"/>
      <c r="AL47" s="327"/>
      <c r="AM47" s="327"/>
      <c r="AN47" s="327"/>
      <c r="AO47" s="327"/>
      <c r="AP47" s="328"/>
      <c r="AQ47" s="326"/>
      <c r="AR47" s="327"/>
      <c r="AS47" s="327"/>
      <c r="AT47" s="327"/>
      <c r="AU47" s="328"/>
      <c r="AV47" s="32"/>
      <c r="AW47" s="32"/>
      <c r="AX47" s="32"/>
      <c r="AY47" s="32"/>
      <c r="AZ47" s="32"/>
      <c r="BA47" s="32"/>
      <c r="BB47" s="32"/>
      <c r="BK47" s="11"/>
    </row>
    <row r="48" spans="1:63" ht="15" customHeight="1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6"/>
      <c r="R48" s="327"/>
      <c r="S48" s="327"/>
      <c r="T48" s="327"/>
      <c r="U48" s="327"/>
      <c r="V48" s="327"/>
      <c r="W48" s="327"/>
      <c r="X48" s="327"/>
      <c r="Y48" s="327"/>
      <c r="Z48" s="328"/>
      <c r="AA48" s="326"/>
      <c r="AB48" s="327"/>
      <c r="AC48" s="327"/>
      <c r="AD48" s="327"/>
      <c r="AE48" s="327"/>
      <c r="AF48" s="327"/>
      <c r="AG48" s="327"/>
      <c r="AH48" s="327"/>
      <c r="AI48" s="327"/>
      <c r="AJ48" s="327"/>
      <c r="AK48" s="327"/>
      <c r="AL48" s="327"/>
      <c r="AM48" s="327"/>
      <c r="AN48" s="327"/>
      <c r="AO48" s="327"/>
      <c r="AP48" s="328"/>
      <c r="AQ48" s="326"/>
      <c r="AR48" s="327"/>
      <c r="AS48" s="327"/>
      <c r="AT48" s="327"/>
      <c r="AU48" s="328"/>
      <c r="AV48" s="32"/>
      <c r="AW48" s="32"/>
      <c r="AX48" s="32"/>
      <c r="AY48" s="32"/>
      <c r="AZ48" s="32"/>
      <c r="BA48" s="32"/>
      <c r="BB48" s="32"/>
      <c r="BK48" s="11"/>
    </row>
    <row r="49" spans="1:63" ht="1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294"/>
      <c r="R49" s="295"/>
      <c r="S49" s="295"/>
      <c r="T49" s="295"/>
      <c r="U49" s="295"/>
      <c r="V49" s="295"/>
      <c r="W49" s="295"/>
      <c r="X49" s="295"/>
      <c r="Y49" s="295"/>
      <c r="Z49" s="296"/>
      <c r="AA49" s="294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6"/>
      <c r="AQ49" s="294"/>
      <c r="AR49" s="295"/>
      <c r="AS49" s="295"/>
      <c r="AT49" s="295"/>
      <c r="AU49" s="296"/>
      <c r="AV49" s="32"/>
      <c r="AW49" s="32"/>
      <c r="AX49" s="32"/>
      <c r="AY49" s="32"/>
      <c r="AZ49" s="32"/>
      <c r="BA49" s="32"/>
      <c r="BB49" s="32"/>
      <c r="BK49" s="11"/>
    </row>
    <row r="50" spans="1:63" ht="15" customHeight="1">
      <c r="A50" s="8"/>
      <c r="BK50" s="11"/>
    </row>
    <row r="51" spans="1:63" ht="15" customHeight="1">
      <c r="A51" s="8"/>
      <c r="BK51" s="11"/>
    </row>
    <row r="52" spans="1:63" ht="15" customHeight="1">
      <c r="A52" s="8"/>
      <c r="BK52" s="11"/>
    </row>
    <row r="53" spans="1:63" ht="15" customHeight="1">
      <c r="A53" s="8"/>
      <c r="BK53" s="11"/>
    </row>
    <row r="54" spans="1:63" ht="15" customHeight="1">
      <c r="A54" s="8"/>
      <c r="BK54" s="11"/>
    </row>
    <row r="55" spans="1:63" ht="1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2"/>
    </row>
  </sheetData>
  <mergeCells count="28">
    <mergeCell ref="Q44:Z45"/>
    <mergeCell ref="AA44:AP45"/>
    <mergeCell ref="AQ44:AU45"/>
    <mergeCell ref="Q46:Z49"/>
    <mergeCell ref="AA46:AP49"/>
    <mergeCell ref="AQ46:AU49"/>
    <mergeCell ref="A4:G4"/>
    <mergeCell ref="BH2:BK3"/>
    <mergeCell ref="BC2:BG3"/>
    <mergeCell ref="AY2:BB3"/>
    <mergeCell ref="AT2:AX3"/>
    <mergeCell ref="AP2:AS3"/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K63"/>
  <sheetViews>
    <sheetView showGridLines="0" view="pageBreakPreview" zoomScaleNormal="75" zoomScaleSheetLayoutView="100" workbookViewId="0">
      <selection sqref="A1:J1"/>
    </sheetView>
  </sheetViews>
  <sheetFormatPr defaultColWidth="9.109375" defaultRowHeight="13.5"/>
  <cols>
    <col min="1" max="63" width="2.77734375" style="1" customWidth="1"/>
    <col min="64" max="64" width="9.109375" style="1" customWidth="1"/>
    <col min="65" max="16384" width="9.109375" style="1"/>
  </cols>
  <sheetData>
    <row r="1" spans="1:63" ht="24.95" customHeight="1">
      <c r="A1" s="297" t="s">
        <v>25</v>
      </c>
      <c r="B1" s="298"/>
      <c r="C1" s="298"/>
      <c r="D1" s="298"/>
      <c r="E1" s="298"/>
      <c r="F1" s="298"/>
      <c r="G1" s="298"/>
      <c r="H1" s="298"/>
      <c r="I1" s="298"/>
      <c r="J1" s="299"/>
      <c r="K1" s="297" t="s">
        <v>26</v>
      </c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9"/>
      <c r="W1" s="300" t="str">
        <f>IF(Bìa!W1="","",Bìa!W1)</f>
        <v>TKCB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297" t="s">
        <v>18</v>
      </c>
      <c r="AQ1" s="298"/>
      <c r="AR1" s="298"/>
      <c r="AS1" s="299"/>
      <c r="AT1" s="297" t="s">
        <v>19</v>
      </c>
      <c r="AU1" s="298"/>
      <c r="AV1" s="298"/>
      <c r="AW1" s="298"/>
      <c r="AX1" s="299"/>
      <c r="AY1" s="297" t="s">
        <v>20</v>
      </c>
      <c r="AZ1" s="298"/>
      <c r="BA1" s="298"/>
      <c r="BB1" s="299"/>
      <c r="BC1" s="297" t="s">
        <v>21</v>
      </c>
      <c r="BD1" s="298"/>
      <c r="BE1" s="298"/>
      <c r="BF1" s="298"/>
      <c r="BG1" s="299"/>
      <c r="BH1" s="297" t="s">
        <v>2</v>
      </c>
      <c r="BI1" s="298"/>
      <c r="BJ1" s="298"/>
      <c r="BK1" s="299"/>
    </row>
    <row r="2" spans="1:63" ht="15" customHeight="1">
      <c r="A2" s="313" t="str">
        <f>IF(Bìa!A2="","",Bìa!A2)</f>
        <v>Manager User</v>
      </c>
      <c r="B2" s="292"/>
      <c r="C2" s="292"/>
      <c r="D2" s="292"/>
      <c r="E2" s="292"/>
      <c r="F2" s="292"/>
      <c r="G2" s="292"/>
      <c r="H2" s="292"/>
      <c r="I2" s="292"/>
      <c r="J2" s="293"/>
      <c r="K2" s="313" t="str">
        <f>IF(Bìa!K2="","",Bìa!K2)</f>
        <v>Thiết kế API</v>
      </c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3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313" t="str">
        <f>IF(Bìa!AP2="","",Bìa!AP2)</f>
        <v>ThanhPD</v>
      </c>
      <c r="AQ2" s="292"/>
      <c r="AR2" s="292"/>
      <c r="AS2" s="293"/>
      <c r="AT2" s="314">
        <f>IF(Bìa!AT2="","",Bìa!AT2)</f>
        <v>44930</v>
      </c>
      <c r="AU2" s="315"/>
      <c r="AV2" s="315"/>
      <c r="AW2" s="315"/>
      <c r="AX2" s="316"/>
      <c r="AY2" s="313" t="str">
        <f>IF(Bìa!AY2="","",Bìa!AY2)</f>
        <v>ThanhPD</v>
      </c>
      <c r="AZ2" s="292"/>
      <c r="BA2" s="292"/>
      <c r="BB2" s="293"/>
      <c r="BC2" s="314">
        <f>IF(Bìa!BC2="","",Bìa!BC2)</f>
        <v>44930</v>
      </c>
      <c r="BD2" s="315"/>
      <c r="BE2" s="315"/>
      <c r="BF2" s="315"/>
      <c r="BG2" s="316"/>
      <c r="BH2" s="313">
        <f>IF(Bìa!BH2="","",Bìa!BH2)</f>
        <v>0.1</v>
      </c>
      <c r="BI2" s="292"/>
      <c r="BJ2" s="292"/>
      <c r="BK2" s="293"/>
    </row>
    <row r="3" spans="1:63" ht="15" customHeight="1">
      <c r="A3" s="294"/>
      <c r="B3" s="295"/>
      <c r="C3" s="295"/>
      <c r="D3" s="295"/>
      <c r="E3" s="295"/>
      <c r="F3" s="295"/>
      <c r="G3" s="295"/>
      <c r="H3" s="295"/>
      <c r="I3" s="295"/>
      <c r="J3" s="296"/>
      <c r="K3" s="294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6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294"/>
      <c r="AQ3" s="295"/>
      <c r="AR3" s="295"/>
      <c r="AS3" s="296"/>
      <c r="AT3" s="317"/>
      <c r="AU3" s="318"/>
      <c r="AV3" s="318"/>
      <c r="AW3" s="318"/>
      <c r="AX3" s="319"/>
      <c r="AY3" s="294"/>
      <c r="AZ3" s="295"/>
      <c r="BA3" s="295"/>
      <c r="BB3" s="296"/>
      <c r="BC3" s="317"/>
      <c r="BD3" s="318"/>
      <c r="BE3" s="318"/>
      <c r="BF3" s="318"/>
      <c r="BG3" s="319"/>
      <c r="BH3" s="294"/>
      <c r="BI3" s="295"/>
      <c r="BJ3" s="295"/>
      <c r="BK3" s="296"/>
    </row>
    <row r="4" spans="1:63" ht="24.95" customHeight="1">
      <c r="A4" s="297" t="s">
        <v>17</v>
      </c>
      <c r="B4" s="298"/>
      <c r="C4" s="298"/>
      <c r="D4" s="298"/>
      <c r="E4" s="298"/>
      <c r="F4" s="298"/>
      <c r="G4" s="299"/>
      <c r="H4" s="309" t="str">
        <f>IF(Bìa!H4="","",Bìa!H4)</f>
        <v/>
      </c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297" t="s">
        <v>22</v>
      </c>
      <c r="V4" s="298"/>
      <c r="W4" s="298"/>
      <c r="X4" s="298"/>
      <c r="Y4" s="299"/>
      <c r="Z4" s="309" t="str">
        <f>IF(Bìa!Z4="","",Bìa!Z4)</f>
        <v>Update Employee</v>
      </c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1"/>
      <c r="AP4" s="309" t="s">
        <v>3</v>
      </c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1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ht="15" customHeight="1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3"/>
    </row>
    <row r="8" spans="1:63" ht="15" customHeight="1">
      <c r="A8" s="31"/>
      <c r="B8" s="34" t="s">
        <v>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5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3"/>
    </row>
    <row r="9" spans="1:63" ht="15" customHeight="1">
      <c r="A9" s="31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3"/>
    </row>
    <row r="10" spans="1:63" ht="15" customHeight="1">
      <c r="A10" s="31"/>
      <c r="B10" s="29" t="s">
        <v>0</v>
      </c>
      <c r="C10" s="30"/>
      <c r="D10" s="30"/>
      <c r="E10" s="30"/>
      <c r="F10" s="30"/>
      <c r="G10" s="30"/>
      <c r="H10" s="29" t="s">
        <v>1</v>
      </c>
      <c r="I10" s="30"/>
      <c r="J10" s="30"/>
      <c r="K10" s="30"/>
      <c r="L10" s="30"/>
      <c r="M10" s="30"/>
      <c r="N10" s="30"/>
      <c r="O10" s="29" t="s">
        <v>5</v>
      </c>
      <c r="P10" s="30"/>
      <c r="Q10" s="30"/>
      <c r="R10" s="30"/>
      <c r="S10" s="29" t="s">
        <v>6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486" t="s">
        <v>40</v>
      </c>
      <c r="AY10" s="487"/>
      <c r="AZ10" s="487"/>
      <c r="BA10" s="487"/>
      <c r="BB10" s="487"/>
      <c r="BC10" s="487"/>
      <c r="BD10" s="487" t="s">
        <v>41</v>
      </c>
      <c r="BE10" s="487"/>
      <c r="BF10" s="487"/>
      <c r="BG10" s="487"/>
      <c r="BH10" s="487"/>
      <c r="BI10" s="487"/>
      <c r="BJ10" s="494"/>
      <c r="BK10" s="33"/>
    </row>
    <row r="11" spans="1:63" ht="15" customHeight="1">
      <c r="A11" s="31"/>
      <c r="B11" s="476">
        <v>44930</v>
      </c>
      <c r="C11" s="477"/>
      <c r="D11" s="477"/>
      <c r="E11" s="477"/>
      <c r="F11" s="477"/>
      <c r="G11" s="478"/>
      <c r="H11" s="461" t="s">
        <v>83</v>
      </c>
      <c r="I11" s="462"/>
      <c r="J11" s="462"/>
      <c r="K11" s="462"/>
      <c r="L11" s="462"/>
      <c r="M11" s="462"/>
      <c r="N11" s="463"/>
      <c r="O11" s="467">
        <v>0.1</v>
      </c>
      <c r="P11" s="468"/>
      <c r="Q11" s="468"/>
      <c r="R11" s="469"/>
      <c r="S11" s="83" t="s">
        <v>31</v>
      </c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389"/>
      <c r="AY11" s="390"/>
      <c r="AZ11" s="390"/>
      <c r="BA11" s="390"/>
      <c r="BB11" s="390"/>
      <c r="BC11" s="391"/>
      <c r="BD11" s="389"/>
      <c r="BE11" s="390"/>
      <c r="BF11" s="390"/>
      <c r="BG11" s="390"/>
      <c r="BH11" s="390"/>
      <c r="BI11" s="390"/>
      <c r="BJ11" s="391"/>
      <c r="BK11" s="33"/>
    </row>
    <row r="12" spans="1:63" ht="15" customHeight="1">
      <c r="A12" s="31"/>
      <c r="B12" s="482"/>
      <c r="C12" s="483"/>
      <c r="D12" s="483"/>
      <c r="E12" s="483"/>
      <c r="F12" s="483"/>
      <c r="G12" s="484"/>
      <c r="H12" s="464"/>
      <c r="I12" s="465"/>
      <c r="J12" s="465"/>
      <c r="K12" s="465"/>
      <c r="L12" s="465"/>
      <c r="M12" s="465"/>
      <c r="N12" s="466"/>
      <c r="O12" s="470"/>
      <c r="P12" s="471"/>
      <c r="Q12" s="471"/>
      <c r="R12" s="472"/>
      <c r="S12" s="85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392"/>
      <c r="AY12" s="393"/>
      <c r="AZ12" s="393"/>
      <c r="BA12" s="393"/>
      <c r="BB12" s="393"/>
      <c r="BC12" s="394"/>
      <c r="BD12" s="392"/>
      <c r="BE12" s="393"/>
      <c r="BF12" s="393"/>
      <c r="BG12" s="393"/>
      <c r="BH12" s="393"/>
      <c r="BI12" s="393"/>
      <c r="BJ12" s="394"/>
      <c r="BK12" s="33"/>
    </row>
    <row r="13" spans="1:63" ht="15" customHeight="1">
      <c r="A13" s="31"/>
      <c r="B13" s="476"/>
      <c r="C13" s="477"/>
      <c r="D13" s="477"/>
      <c r="E13" s="477"/>
      <c r="F13" s="477"/>
      <c r="G13" s="478"/>
      <c r="H13" s="461"/>
      <c r="I13" s="462"/>
      <c r="J13" s="462"/>
      <c r="K13" s="462"/>
      <c r="L13" s="462"/>
      <c r="M13" s="462"/>
      <c r="N13" s="463"/>
      <c r="O13" s="467"/>
      <c r="P13" s="468"/>
      <c r="Q13" s="468"/>
      <c r="R13" s="469"/>
      <c r="S13" s="83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389"/>
      <c r="AY13" s="390"/>
      <c r="AZ13" s="390"/>
      <c r="BA13" s="390"/>
      <c r="BB13" s="390"/>
      <c r="BC13" s="391"/>
      <c r="BD13" s="389"/>
      <c r="BE13" s="390"/>
      <c r="BF13" s="390"/>
      <c r="BG13" s="390"/>
      <c r="BH13" s="390"/>
      <c r="BI13" s="390"/>
      <c r="BJ13" s="391"/>
      <c r="BK13" s="33"/>
    </row>
    <row r="14" spans="1:63" ht="15" customHeight="1">
      <c r="A14" s="31"/>
      <c r="B14" s="479"/>
      <c r="C14" s="480"/>
      <c r="D14" s="480"/>
      <c r="E14" s="480"/>
      <c r="F14" s="480"/>
      <c r="G14" s="481"/>
      <c r="H14" s="488"/>
      <c r="I14" s="489"/>
      <c r="J14" s="489"/>
      <c r="K14" s="489"/>
      <c r="L14" s="489"/>
      <c r="M14" s="489"/>
      <c r="N14" s="490"/>
      <c r="O14" s="470"/>
      <c r="P14" s="471"/>
      <c r="Q14" s="471"/>
      <c r="R14" s="472"/>
      <c r="S14" s="8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392"/>
      <c r="AY14" s="393"/>
      <c r="AZ14" s="393"/>
      <c r="BA14" s="393"/>
      <c r="BB14" s="393"/>
      <c r="BC14" s="394"/>
      <c r="BD14" s="392"/>
      <c r="BE14" s="393"/>
      <c r="BF14" s="393"/>
      <c r="BG14" s="393"/>
      <c r="BH14" s="393"/>
      <c r="BI14" s="393"/>
      <c r="BJ14" s="394"/>
      <c r="BK14" s="33"/>
    </row>
    <row r="15" spans="1:63" ht="15" customHeight="1">
      <c r="A15" s="31"/>
      <c r="B15" s="476"/>
      <c r="C15" s="477"/>
      <c r="D15" s="477"/>
      <c r="E15" s="477"/>
      <c r="F15" s="477"/>
      <c r="G15" s="478"/>
      <c r="H15" s="461"/>
      <c r="I15" s="462"/>
      <c r="J15" s="462"/>
      <c r="K15" s="462"/>
      <c r="L15" s="462"/>
      <c r="M15" s="462"/>
      <c r="N15" s="463"/>
      <c r="O15" s="467"/>
      <c r="P15" s="468"/>
      <c r="Q15" s="468"/>
      <c r="R15" s="469"/>
      <c r="S15" s="83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389"/>
      <c r="AY15" s="390"/>
      <c r="AZ15" s="390"/>
      <c r="BA15" s="390"/>
      <c r="BB15" s="390"/>
      <c r="BC15" s="391"/>
      <c r="BD15" s="389"/>
      <c r="BE15" s="390"/>
      <c r="BF15" s="390"/>
      <c r="BG15" s="390"/>
      <c r="BH15" s="390"/>
      <c r="BI15" s="390"/>
      <c r="BJ15" s="391"/>
      <c r="BK15" s="33"/>
    </row>
    <row r="16" spans="1:63" ht="15" customHeight="1">
      <c r="A16" s="31"/>
      <c r="B16" s="482"/>
      <c r="C16" s="483"/>
      <c r="D16" s="483"/>
      <c r="E16" s="483"/>
      <c r="F16" s="483"/>
      <c r="G16" s="484"/>
      <c r="H16" s="464"/>
      <c r="I16" s="465"/>
      <c r="J16" s="465"/>
      <c r="K16" s="465"/>
      <c r="L16" s="465"/>
      <c r="M16" s="465"/>
      <c r="N16" s="466"/>
      <c r="O16" s="470"/>
      <c r="P16" s="471"/>
      <c r="Q16" s="471"/>
      <c r="R16" s="472"/>
      <c r="S16" s="85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392"/>
      <c r="AY16" s="393"/>
      <c r="AZ16" s="393"/>
      <c r="BA16" s="393"/>
      <c r="BB16" s="393"/>
      <c r="BC16" s="394"/>
      <c r="BD16" s="392"/>
      <c r="BE16" s="393"/>
      <c r="BF16" s="393"/>
      <c r="BG16" s="393"/>
      <c r="BH16" s="393"/>
      <c r="BI16" s="393"/>
      <c r="BJ16" s="394"/>
      <c r="BK16" s="33"/>
    </row>
    <row r="17" spans="1:63" ht="15" customHeight="1">
      <c r="A17" s="31"/>
      <c r="B17" s="476"/>
      <c r="C17" s="477"/>
      <c r="D17" s="477"/>
      <c r="E17" s="477"/>
      <c r="F17" s="477"/>
      <c r="G17" s="478"/>
      <c r="H17" s="461"/>
      <c r="I17" s="462"/>
      <c r="J17" s="462"/>
      <c r="K17" s="462"/>
      <c r="L17" s="462"/>
      <c r="M17" s="462"/>
      <c r="N17" s="463"/>
      <c r="O17" s="467"/>
      <c r="P17" s="468"/>
      <c r="Q17" s="468"/>
      <c r="R17" s="469"/>
      <c r="S17" s="83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389"/>
      <c r="AY17" s="390"/>
      <c r="AZ17" s="390"/>
      <c r="BA17" s="390"/>
      <c r="BB17" s="390"/>
      <c r="BC17" s="391"/>
      <c r="BD17" s="389"/>
      <c r="BE17" s="390"/>
      <c r="BF17" s="390"/>
      <c r="BG17" s="390"/>
      <c r="BH17" s="390"/>
      <c r="BI17" s="390"/>
      <c r="BJ17" s="391"/>
      <c r="BK17" s="33"/>
    </row>
    <row r="18" spans="1:63" ht="15" customHeight="1">
      <c r="A18" s="31"/>
      <c r="B18" s="482"/>
      <c r="C18" s="483"/>
      <c r="D18" s="483"/>
      <c r="E18" s="483"/>
      <c r="F18" s="483"/>
      <c r="G18" s="484"/>
      <c r="H18" s="464"/>
      <c r="I18" s="465"/>
      <c r="J18" s="465"/>
      <c r="K18" s="465"/>
      <c r="L18" s="465"/>
      <c r="M18" s="465"/>
      <c r="N18" s="466"/>
      <c r="O18" s="470"/>
      <c r="P18" s="471"/>
      <c r="Q18" s="471"/>
      <c r="R18" s="472"/>
      <c r="S18" s="85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392"/>
      <c r="AY18" s="393"/>
      <c r="AZ18" s="393"/>
      <c r="BA18" s="393"/>
      <c r="BB18" s="393"/>
      <c r="BC18" s="394"/>
      <c r="BD18" s="392"/>
      <c r="BE18" s="393"/>
      <c r="BF18" s="393"/>
      <c r="BG18" s="393"/>
      <c r="BH18" s="393"/>
      <c r="BI18" s="393"/>
      <c r="BJ18" s="394"/>
      <c r="BK18" s="33"/>
    </row>
    <row r="19" spans="1:63" ht="15" customHeight="1">
      <c r="A19" s="31"/>
      <c r="B19" s="476"/>
      <c r="C19" s="477"/>
      <c r="D19" s="477"/>
      <c r="E19" s="477"/>
      <c r="F19" s="477"/>
      <c r="G19" s="478"/>
      <c r="H19" s="461"/>
      <c r="I19" s="462"/>
      <c r="J19" s="462"/>
      <c r="K19" s="462"/>
      <c r="L19" s="462"/>
      <c r="M19" s="462"/>
      <c r="N19" s="463"/>
      <c r="O19" s="467"/>
      <c r="P19" s="468"/>
      <c r="Q19" s="468"/>
      <c r="R19" s="469"/>
      <c r="S19" s="83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389"/>
      <c r="AY19" s="390"/>
      <c r="AZ19" s="390"/>
      <c r="BA19" s="390"/>
      <c r="BB19" s="390"/>
      <c r="BC19" s="391"/>
      <c r="BD19" s="389"/>
      <c r="BE19" s="390"/>
      <c r="BF19" s="390"/>
      <c r="BG19" s="390"/>
      <c r="BH19" s="390"/>
      <c r="BI19" s="390"/>
      <c r="BJ19" s="391"/>
      <c r="BK19" s="33"/>
    </row>
    <row r="20" spans="1:63" ht="15" customHeight="1">
      <c r="A20" s="31"/>
      <c r="B20" s="482"/>
      <c r="C20" s="483"/>
      <c r="D20" s="483"/>
      <c r="E20" s="483"/>
      <c r="F20" s="483"/>
      <c r="G20" s="484"/>
      <c r="H20" s="464"/>
      <c r="I20" s="465"/>
      <c r="J20" s="465"/>
      <c r="K20" s="465"/>
      <c r="L20" s="465"/>
      <c r="M20" s="465"/>
      <c r="N20" s="466"/>
      <c r="O20" s="470"/>
      <c r="P20" s="471"/>
      <c r="Q20" s="471"/>
      <c r="R20" s="472"/>
      <c r="S20" s="85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392"/>
      <c r="AY20" s="393"/>
      <c r="AZ20" s="393"/>
      <c r="BA20" s="393"/>
      <c r="BB20" s="393"/>
      <c r="BC20" s="394"/>
      <c r="BD20" s="392"/>
      <c r="BE20" s="393"/>
      <c r="BF20" s="393"/>
      <c r="BG20" s="393"/>
      <c r="BH20" s="393"/>
      <c r="BI20" s="393"/>
      <c r="BJ20" s="394"/>
      <c r="BK20" s="33"/>
    </row>
    <row r="21" spans="1:63" ht="15" customHeight="1">
      <c r="A21" s="31"/>
      <c r="B21" s="476"/>
      <c r="C21" s="477"/>
      <c r="D21" s="477"/>
      <c r="E21" s="477"/>
      <c r="F21" s="477"/>
      <c r="G21" s="478"/>
      <c r="H21" s="461"/>
      <c r="I21" s="462"/>
      <c r="J21" s="462"/>
      <c r="K21" s="462"/>
      <c r="L21" s="462"/>
      <c r="M21" s="462"/>
      <c r="N21" s="463"/>
      <c r="O21" s="467"/>
      <c r="P21" s="468"/>
      <c r="Q21" s="468"/>
      <c r="R21" s="469"/>
      <c r="S21" s="83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389"/>
      <c r="AY21" s="390"/>
      <c r="AZ21" s="390"/>
      <c r="BA21" s="390"/>
      <c r="BB21" s="390"/>
      <c r="BC21" s="391"/>
      <c r="BD21" s="389"/>
      <c r="BE21" s="390"/>
      <c r="BF21" s="390"/>
      <c r="BG21" s="390"/>
      <c r="BH21" s="390"/>
      <c r="BI21" s="390"/>
      <c r="BJ21" s="391"/>
      <c r="BK21" s="33"/>
    </row>
    <row r="22" spans="1:63" ht="15" customHeight="1">
      <c r="A22" s="31"/>
      <c r="B22" s="482"/>
      <c r="C22" s="483"/>
      <c r="D22" s="483"/>
      <c r="E22" s="483"/>
      <c r="F22" s="483"/>
      <c r="G22" s="484"/>
      <c r="H22" s="464"/>
      <c r="I22" s="465"/>
      <c r="J22" s="465"/>
      <c r="K22" s="465"/>
      <c r="L22" s="465"/>
      <c r="M22" s="465"/>
      <c r="N22" s="466"/>
      <c r="O22" s="470"/>
      <c r="P22" s="471"/>
      <c r="Q22" s="471"/>
      <c r="R22" s="472"/>
      <c r="S22" s="85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392"/>
      <c r="AY22" s="393"/>
      <c r="AZ22" s="393"/>
      <c r="BA22" s="393"/>
      <c r="BB22" s="393"/>
      <c r="BC22" s="394"/>
      <c r="BD22" s="392"/>
      <c r="BE22" s="393"/>
      <c r="BF22" s="393"/>
      <c r="BG22" s="393"/>
      <c r="BH22" s="393"/>
      <c r="BI22" s="393"/>
      <c r="BJ22" s="394"/>
      <c r="BK22" s="33"/>
    </row>
    <row r="23" spans="1:63" ht="15" customHeight="1">
      <c r="A23" s="31"/>
      <c r="B23" s="476"/>
      <c r="C23" s="477"/>
      <c r="D23" s="477"/>
      <c r="E23" s="477"/>
      <c r="F23" s="477"/>
      <c r="G23" s="478"/>
      <c r="H23" s="461"/>
      <c r="I23" s="462"/>
      <c r="J23" s="462"/>
      <c r="K23" s="462"/>
      <c r="L23" s="462"/>
      <c r="M23" s="462"/>
      <c r="N23" s="463"/>
      <c r="O23" s="467"/>
      <c r="P23" s="468"/>
      <c r="Q23" s="468"/>
      <c r="R23" s="469"/>
      <c r="S23" s="83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112"/>
      <c r="AX23" s="389"/>
      <c r="AY23" s="390"/>
      <c r="AZ23" s="390"/>
      <c r="BA23" s="390"/>
      <c r="BB23" s="390"/>
      <c r="BC23" s="391"/>
      <c r="BD23" s="389"/>
      <c r="BE23" s="390"/>
      <c r="BF23" s="390"/>
      <c r="BG23" s="390"/>
      <c r="BH23" s="390"/>
      <c r="BI23" s="390"/>
      <c r="BJ23" s="391"/>
      <c r="BK23" s="33"/>
    </row>
    <row r="24" spans="1:63" ht="15" customHeight="1">
      <c r="A24" s="31"/>
      <c r="B24" s="479"/>
      <c r="C24" s="480"/>
      <c r="D24" s="480"/>
      <c r="E24" s="480"/>
      <c r="F24" s="480"/>
      <c r="G24" s="481"/>
      <c r="H24" s="488"/>
      <c r="I24" s="489"/>
      <c r="J24" s="489"/>
      <c r="K24" s="489"/>
      <c r="L24" s="489"/>
      <c r="M24" s="489"/>
      <c r="N24" s="490"/>
      <c r="O24" s="473"/>
      <c r="P24" s="474"/>
      <c r="Q24" s="474"/>
      <c r="R24" s="475"/>
      <c r="S24" s="113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5"/>
      <c r="AX24" s="491"/>
      <c r="AY24" s="492"/>
      <c r="AZ24" s="492"/>
      <c r="BA24" s="492"/>
      <c r="BB24" s="492"/>
      <c r="BC24" s="493"/>
      <c r="BD24" s="491"/>
      <c r="BE24" s="492"/>
      <c r="BF24" s="492"/>
      <c r="BG24" s="492"/>
      <c r="BH24" s="492"/>
      <c r="BI24" s="492"/>
      <c r="BJ24" s="493"/>
      <c r="BK24" s="33"/>
    </row>
    <row r="25" spans="1:63" ht="15" customHeight="1">
      <c r="A25" s="31"/>
      <c r="B25" s="479"/>
      <c r="C25" s="480"/>
      <c r="D25" s="480"/>
      <c r="E25" s="480"/>
      <c r="F25" s="480"/>
      <c r="G25" s="481"/>
      <c r="H25" s="488"/>
      <c r="I25" s="489"/>
      <c r="J25" s="489"/>
      <c r="K25" s="489"/>
      <c r="L25" s="489"/>
      <c r="M25" s="489"/>
      <c r="N25" s="490"/>
      <c r="O25" s="473"/>
      <c r="P25" s="474"/>
      <c r="Q25" s="474"/>
      <c r="R25" s="475"/>
      <c r="S25" s="85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116"/>
      <c r="AX25" s="491"/>
      <c r="AY25" s="492"/>
      <c r="AZ25" s="492"/>
      <c r="BA25" s="492"/>
      <c r="BB25" s="492"/>
      <c r="BC25" s="493"/>
      <c r="BD25" s="491"/>
      <c r="BE25" s="492"/>
      <c r="BF25" s="492"/>
      <c r="BG25" s="492"/>
      <c r="BH25" s="492"/>
      <c r="BI25" s="492"/>
      <c r="BJ25" s="493"/>
      <c r="BK25" s="33"/>
    </row>
    <row r="26" spans="1:63" ht="15" customHeight="1">
      <c r="A26" s="31"/>
      <c r="B26" s="476"/>
      <c r="C26" s="477"/>
      <c r="D26" s="477"/>
      <c r="E26" s="477"/>
      <c r="F26" s="477"/>
      <c r="G26" s="478"/>
      <c r="H26" s="485"/>
      <c r="I26" s="462"/>
      <c r="J26" s="462"/>
      <c r="K26" s="462"/>
      <c r="L26" s="462"/>
      <c r="M26" s="462"/>
      <c r="N26" s="463"/>
      <c r="O26" s="467"/>
      <c r="P26" s="468"/>
      <c r="Q26" s="468"/>
      <c r="R26" s="469"/>
      <c r="S26" s="83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347"/>
      <c r="AY26" s="348"/>
      <c r="AZ26" s="348"/>
      <c r="BA26" s="348"/>
      <c r="BB26" s="348"/>
      <c r="BC26" s="349"/>
      <c r="BD26" s="347"/>
      <c r="BE26" s="348"/>
      <c r="BF26" s="348"/>
      <c r="BG26" s="348"/>
      <c r="BH26" s="348"/>
      <c r="BI26" s="348"/>
      <c r="BJ26" s="349"/>
      <c r="BK26" s="33"/>
    </row>
    <row r="27" spans="1:63" ht="15" customHeight="1">
      <c r="A27" s="31"/>
      <c r="B27" s="482"/>
      <c r="C27" s="483"/>
      <c r="D27" s="483"/>
      <c r="E27" s="483"/>
      <c r="F27" s="483"/>
      <c r="G27" s="484"/>
      <c r="H27" s="464"/>
      <c r="I27" s="465"/>
      <c r="J27" s="465"/>
      <c r="K27" s="465"/>
      <c r="L27" s="465"/>
      <c r="M27" s="465"/>
      <c r="N27" s="466"/>
      <c r="O27" s="470"/>
      <c r="P27" s="471"/>
      <c r="Q27" s="471"/>
      <c r="R27" s="472"/>
      <c r="S27" s="85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350"/>
      <c r="AY27" s="351"/>
      <c r="AZ27" s="351"/>
      <c r="BA27" s="351"/>
      <c r="BB27" s="351"/>
      <c r="BC27" s="352"/>
      <c r="BD27" s="350"/>
      <c r="BE27" s="351"/>
      <c r="BF27" s="351"/>
      <c r="BG27" s="351"/>
      <c r="BH27" s="351"/>
      <c r="BI27" s="351"/>
      <c r="BJ27" s="352"/>
      <c r="BK27" s="33"/>
    </row>
    <row r="28" spans="1:63" ht="15" customHeight="1">
      <c r="A28" s="31"/>
      <c r="B28" s="476"/>
      <c r="C28" s="477"/>
      <c r="D28" s="477"/>
      <c r="E28" s="477"/>
      <c r="F28" s="477"/>
      <c r="G28" s="478"/>
      <c r="H28" s="485"/>
      <c r="I28" s="462"/>
      <c r="J28" s="462"/>
      <c r="K28" s="462"/>
      <c r="L28" s="462"/>
      <c r="M28" s="462"/>
      <c r="N28" s="463"/>
      <c r="O28" s="467"/>
      <c r="P28" s="468"/>
      <c r="Q28" s="468"/>
      <c r="R28" s="469"/>
      <c r="S28" s="83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112"/>
      <c r="AX28" s="389"/>
      <c r="AY28" s="390"/>
      <c r="AZ28" s="390"/>
      <c r="BA28" s="390"/>
      <c r="BB28" s="390"/>
      <c r="BC28" s="391"/>
      <c r="BD28" s="389"/>
      <c r="BE28" s="390"/>
      <c r="BF28" s="390"/>
      <c r="BG28" s="390"/>
      <c r="BH28" s="390"/>
      <c r="BI28" s="390"/>
      <c r="BJ28" s="391"/>
      <c r="BK28" s="33"/>
    </row>
    <row r="29" spans="1:63" ht="15" customHeight="1">
      <c r="A29" s="31"/>
      <c r="B29" s="479"/>
      <c r="C29" s="480"/>
      <c r="D29" s="480"/>
      <c r="E29" s="480"/>
      <c r="F29" s="480"/>
      <c r="G29" s="481"/>
      <c r="H29" s="495"/>
      <c r="I29" s="489"/>
      <c r="J29" s="489"/>
      <c r="K29" s="489"/>
      <c r="L29" s="489"/>
      <c r="M29" s="489"/>
      <c r="N29" s="490"/>
      <c r="O29" s="473"/>
      <c r="P29" s="474"/>
      <c r="Q29" s="474"/>
      <c r="R29" s="475"/>
      <c r="S29" s="113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5"/>
      <c r="AX29" s="491"/>
      <c r="AY29" s="492"/>
      <c r="AZ29" s="492"/>
      <c r="BA29" s="492"/>
      <c r="BB29" s="492"/>
      <c r="BC29" s="493"/>
      <c r="BD29" s="491"/>
      <c r="BE29" s="492"/>
      <c r="BF29" s="492"/>
      <c r="BG29" s="492"/>
      <c r="BH29" s="492"/>
      <c r="BI29" s="492"/>
      <c r="BJ29" s="493"/>
      <c r="BK29" s="33"/>
    </row>
    <row r="30" spans="1:63" ht="15" customHeight="1">
      <c r="A30" s="31"/>
      <c r="B30" s="482"/>
      <c r="C30" s="483"/>
      <c r="D30" s="483"/>
      <c r="E30" s="483"/>
      <c r="F30" s="483"/>
      <c r="G30" s="484"/>
      <c r="H30" s="464"/>
      <c r="I30" s="465"/>
      <c r="J30" s="465"/>
      <c r="K30" s="465"/>
      <c r="L30" s="465"/>
      <c r="M30" s="465"/>
      <c r="N30" s="466"/>
      <c r="O30" s="470"/>
      <c r="P30" s="471"/>
      <c r="Q30" s="471"/>
      <c r="R30" s="472"/>
      <c r="S30" s="85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116"/>
      <c r="AX30" s="392"/>
      <c r="AY30" s="393"/>
      <c r="AZ30" s="393"/>
      <c r="BA30" s="393"/>
      <c r="BB30" s="393"/>
      <c r="BC30" s="394"/>
      <c r="BD30" s="392"/>
      <c r="BE30" s="393"/>
      <c r="BF30" s="393"/>
      <c r="BG30" s="393"/>
      <c r="BH30" s="393"/>
      <c r="BI30" s="393"/>
      <c r="BJ30" s="394"/>
      <c r="BK30" s="33"/>
    </row>
    <row r="31" spans="1:63" ht="15" customHeight="1">
      <c r="A31" s="31"/>
      <c r="B31" s="476"/>
      <c r="C31" s="477"/>
      <c r="D31" s="477"/>
      <c r="E31" s="477"/>
      <c r="F31" s="477"/>
      <c r="G31" s="478"/>
      <c r="H31" s="485"/>
      <c r="I31" s="462"/>
      <c r="J31" s="462"/>
      <c r="K31" s="462"/>
      <c r="L31" s="462"/>
      <c r="M31" s="462"/>
      <c r="N31" s="463"/>
      <c r="O31" s="467"/>
      <c r="P31" s="468"/>
      <c r="Q31" s="468"/>
      <c r="R31" s="469"/>
      <c r="S31" s="83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389"/>
      <c r="AY31" s="390"/>
      <c r="AZ31" s="390"/>
      <c r="BA31" s="390"/>
      <c r="BB31" s="390"/>
      <c r="BC31" s="391"/>
      <c r="BD31" s="389"/>
      <c r="BE31" s="390"/>
      <c r="BF31" s="390"/>
      <c r="BG31" s="390"/>
      <c r="BH31" s="390"/>
      <c r="BI31" s="390"/>
      <c r="BJ31" s="391"/>
      <c r="BK31" s="33"/>
    </row>
    <row r="32" spans="1:63" ht="15" customHeight="1">
      <c r="A32" s="31"/>
      <c r="B32" s="482"/>
      <c r="C32" s="483"/>
      <c r="D32" s="483"/>
      <c r="E32" s="483"/>
      <c r="F32" s="483"/>
      <c r="G32" s="484"/>
      <c r="H32" s="464"/>
      <c r="I32" s="465"/>
      <c r="J32" s="465"/>
      <c r="K32" s="465"/>
      <c r="L32" s="465"/>
      <c r="M32" s="465"/>
      <c r="N32" s="466"/>
      <c r="O32" s="470"/>
      <c r="P32" s="471"/>
      <c r="Q32" s="471"/>
      <c r="R32" s="472"/>
      <c r="S32" s="85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392"/>
      <c r="AY32" s="393"/>
      <c r="AZ32" s="393"/>
      <c r="BA32" s="393"/>
      <c r="BB32" s="393"/>
      <c r="BC32" s="394"/>
      <c r="BD32" s="392"/>
      <c r="BE32" s="393"/>
      <c r="BF32" s="393"/>
      <c r="BG32" s="393"/>
      <c r="BH32" s="393"/>
      <c r="BI32" s="393"/>
      <c r="BJ32" s="394"/>
      <c r="BK32" s="33"/>
    </row>
    <row r="33" spans="1:63" ht="44.25" customHeight="1">
      <c r="A33" s="31"/>
      <c r="B33" s="476"/>
      <c r="C33" s="477"/>
      <c r="D33" s="477"/>
      <c r="E33" s="477"/>
      <c r="F33" s="477"/>
      <c r="G33" s="478"/>
      <c r="H33" s="485"/>
      <c r="I33" s="462"/>
      <c r="J33" s="462"/>
      <c r="K33" s="462"/>
      <c r="L33" s="462"/>
      <c r="M33" s="462"/>
      <c r="N33" s="463"/>
      <c r="O33" s="467"/>
      <c r="P33" s="468"/>
      <c r="Q33" s="468"/>
      <c r="R33" s="469"/>
      <c r="S33" s="496"/>
      <c r="T33" s="497"/>
      <c r="U33" s="497"/>
      <c r="V33" s="497"/>
      <c r="W33" s="497"/>
      <c r="X33" s="497"/>
      <c r="Y33" s="497"/>
      <c r="Z33" s="497"/>
      <c r="AA33" s="497"/>
      <c r="AB33" s="497"/>
      <c r="AC33" s="497"/>
      <c r="AD33" s="497"/>
      <c r="AE33" s="497"/>
      <c r="AF33" s="497"/>
      <c r="AG33" s="497"/>
      <c r="AH33" s="497"/>
      <c r="AI33" s="497"/>
      <c r="AJ33" s="497"/>
      <c r="AK33" s="497"/>
      <c r="AL33" s="497"/>
      <c r="AM33" s="497"/>
      <c r="AN33" s="497"/>
      <c r="AO33" s="497"/>
      <c r="AP33" s="497"/>
      <c r="AQ33" s="497"/>
      <c r="AR33" s="497"/>
      <c r="AS33" s="497"/>
      <c r="AT33" s="497"/>
      <c r="AU33" s="497"/>
      <c r="AV33" s="497"/>
      <c r="AW33" s="498"/>
      <c r="AX33" s="389"/>
      <c r="AY33" s="390"/>
      <c r="AZ33" s="390"/>
      <c r="BA33" s="390"/>
      <c r="BB33" s="390"/>
      <c r="BC33" s="391"/>
      <c r="BD33" s="389"/>
      <c r="BE33" s="390"/>
      <c r="BF33" s="390"/>
      <c r="BG33" s="390"/>
      <c r="BH33" s="390"/>
      <c r="BI33" s="390"/>
      <c r="BJ33" s="391"/>
      <c r="BK33" s="33"/>
    </row>
    <row r="34" spans="1:63" ht="15" customHeight="1">
      <c r="A34" s="31"/>
      <c r="B34" s="482"/>
      <c r="C34" s="483"/>
      <c r="D34" s="483"/>
      <c r="E34" s="483"/>
      <c r="F34" s="483"/>
      <c r="G34" s="484"/>
      <c r="H34" s="464"/>
      <c r="I34" s="465"/>
      <c r="J34" s="465"/>
      <c r="K34" s="465"/>
      <c r="L34" s="465"/>
      <c r="M34" s="465"/>
      <c r="N34" s="466"/>
      <c r="O34" s="470"/>
      <c r="P34" s="471"/>
      <c r="Q34" s="471"/>
      <c r="R34" s="472"/>
      <c r="S34" s="85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392"/>
      <c r="AY34" s="393"/>
      <c r="AZ34" s="393"/>
      <c r="BA34" s="393"/>
      <c r="BB34" s="393"/>
      <c r="BC34" s="394"/>
      <c r="BD34" s="392"/>
      <c r="BE34" s="393"/>
      <c r="BF34" s="393"/>
      <c r="BG34" s="393"/>
      <c r="BH34" s="393"/>
      <c r="BI34" s="393"/>
      <c r="BJ34" s="394"/>
      <c r="BK34" s="33"/>
    </row>
    <row r="35" spans="1:63" ht="15" customHeight="1">
      <c r="A35" s="31"/>
      <c r="B35" s="476"/>
      <c r="C35" s="477"/>
      <c r="D35" s="477"/>
      <c r="E35" s="477"/>
      <c r="F35" s="477"/>
      <c r="G35" s="478"/>
      <c r="H35" s="485"/>
      <c r="I35" s="462"/>
      <c r="J35" s="462"/>
      <c r="K35" s="462"/>
      <c r="L35" s="462"/>
      <c r="M35" s="462"/>
      <c r="N35" s="463"/>
      <c r="O35" s="467"/>
      <c r="P35" s="468"/>
      <c r="Q35" s="468"/>
      <c r="R35" s="469"/>
      <c r="S35" s="83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389"/>
      <c r="AY35" s="390"/>
      <c r="AZ35" s="390"/>
      <c r="BA35" s="390"/>
      <c r="BB35" s="390"/>
      <c r="BC35" s="391"/>
      <c r="BD35" s="389"/>
      <c r="BE35" s="390"/>
      <c r="BF35" s="390"/>
      <c r="BG35" s="390"/>
      <c r="BH35" s="390"/>
      <c r="BI35" s="390"/>
      <c r="BJ35" s="391"/>
      <c r="BK35" s="33"/>
    </row>
    <row r="36" spans="1:63" ht="15" customHeight="1">
      <c r="A36" s="31"/>
      <c r="B36" s="482"/>
      <c r="C36" s="483"/>
      <c r="D36" s="483"/>
      <c r="E36" s="483"/>
      <c r="F36" s="483"/>
      <c r="G36" s="484"/>
      <c r="H36" s="464"/>
      <c r="I36" s="465"/>
      <c r="J36" s="465"/>
      <c r="K36" s="465"/>
      <c r="L36" s="465"/>
      <c r="M36" s="465"/>
      <c r="N36" s="466"/>
      <c r="O36" s="470"/>
      <c r="P36" s="471"/>
      <c r="Q36" s="471"/>
      <c r="R36" s="472"/>
      <c r="S36" s="85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392"/>
      <c r="AY36" s="393"/>
      <c r="AZ36" s="393"/>
      <c r="BA36" s="393"/>
      <c r="BB36" s="393"/>
      <c r="BC36" s="394"/>
      <c r="BD36" s="392"/>
      <c r="BE36" s="393"/>
      <c r="BF36" s="393"/>
      <c r="BG36" s="393"/>
      <c r="BH36" s="393"/>
      <c r="BI36" s="393"/>
      <c r="BJ36" s="394"/>
      <c r="BK36" s="33"/>
    </row>
    <row r="37" spans="1:63" ht="15" customHeight="1">
      <c r="A37" s="31"/>
      <c r="B37" s="476"/>
      <c r="C37" s="477"/>
      <c r="D37" s="477"/>
      <c r="E37" s="477"/>
      <c r="F37" s="477"/>
      <c r="G37" s="478"/>
      <c r="H37" s="485"/>
      <c r="I37" s="462"/>
      <c r="J37" s="462"/>
      <c r="K37" s="462"/>
      <c r="L37" s="462"/>
      <c r="M37" s="462"/>
      <c r="N37" s="463"/>
      <c r="O37" s="467"/>
      <c r="P37" s="468"/>
      <c r="Q37" s="468"/>
      <c r="R37" s="469"/>
      <c r="S37" s="83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389"/>
      <c r="AY37" s="390"/>
      <c r="AZ37" s="390"/>
      <c r="BA37" s="390"/>
      <c r="BB37" s="390"/>
      <c r="BC37" s="391"/>
      <c r="BD37" s="389"/>
      <c r="BE37" s="390"/>
      <c r="BF37" s="390"/>
      <c r="BG37" s="390"/>
      <c r="BH37" s="390"/>
      <c r="BI37" s="390"/>
      <c r="BJ37" s="391"/>
      <c r="BK37" s="33"/>
    </row>
    <row r="38" spans="1:63" ht="15" customHeight="1">
      <c r="A38" s="31"/>
      <c r="B38" s="482"/>
      <c r="C38" s="483"/>
      <c r="D38" s="483"/>
      <c r="E38" s="483"/>
      <c r="F38" s="483"/>
      <c r="G38" s="484"/>
      <c r="H38" s="464"/>
      <c r="I38" s="465"/>
      <c r="J38" s="465"/>
      <c r="K38" s="465"/>
      <c r="L38" s="465"/>
      <c r="M38" s="465"/>
      <c r="N38" s="466"/>
      <c r="O38" s="470"/>
      <c r="P38" s="471"/>
      <c r="Q38" s="471"/>
      <c r="R38" s="472"/>
      <c r="S38" s="85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392"/>
      <c r="AY38" s="393"/>
      <c r="AZ38" s="393"/>
      <c r="BA38" s="393"/>
      <c r="BB38" s="393"/>
      <c r="BC38" s="394"/>
      <c r="BD38" s="392"/>
      <c r="BE38" s="393"/>
      <c r="BF38" s="393"/>
      <c r="BG38" s="393"/>
      <c r="BH38" s="393"/>
      <c r="BI38" s="393"/>
      <c r="BJ38" s="394"/>
      <c r="BK38" s="33"/>
    </row>
    <row r="39" spans="1:63" ht="15" customHeight="1">
      <c r="A39" s="31"/>
      <c r="B39" s="476"/>
      <c r="C39" s="477"/>
      <c r="D39" s="477"/>
      <c r="E39" s="477"/>
      <c r="F39" s="477"/>
      <c r="G39" s="478"/>
      <c r="H39" s="485"/>
      <c r="I39" s="462"/>
      <c r="J39" s="462"/>
      <c r="K39" s="462"/>
      <c r="L39" s="462"/>
      <c r="M39" s="462"/>
      <c r="N39" s="463"/>
      <c r="O39" s="467"/>
      <c r="P39" s="468"/>
      <c r="Q39" s="468"/>
      <c r="R39" s="469"/>
      <c r="S39" s="83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389"/>
      <c r="AY39" s="390"/>
      <c r="AZ39" s="390"/>
      <c r="BA39" s="390"/>
      <c r="BB39" s="390"/>
      <c r="BC39" s="391"/>
      <c r="BD39" s="389"/>
      <c r="BE39" s="390"/>
      <c r="BF39" s="390"/>
      <c r="BG39" s="390"/>
      <c r="BH39" s="390"/>
      <c r="BI39" s="390"/>
      <c r="BJ39" s="391"/>
      <c r="BK39" s="33"/>
    </row>
    <row r="40" spans="1:63" ht="15" customHeight="1">
      <c r="A40" s="31"/>
      <c r="B40" s="482"/>
      <c r="C40" s="483"/>
      <c r="D40" s="483"/>
      <c r="E40" s="483"/>
      <c r="F40" s="483"/>
      <c r="G40" s="484"/>
      <c r="H40" s="464"/>
      <c r="I40" s="465"/>
      <c r="J40" s="465"/>
      <c r="K40" s="465"/>
      <c r="L40" s="465"/>
      <c r="M40" s="465"/>
      <c r="N40" s="466"/>
      <c r="O40" s="470"/>
      <c r="P40" s="471"/>
      <c r="Q40" s="471"/>
      <c r="R40" s="472"/>
      <c r="S40" s="85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392"/>
      <c r="AY40" s="393"/>
      <c r="AZ40" s="393"/>
      <c r="BA40" s="393"/>
      <c r="BB40" s="393"/>
      <c r="BC40" s="394"/>
      <c r="BD40" s="392"/>
      <c r="BE40" s="393"/>
      <c r="BF40" s="393"/>
      <c r="BG40" s="393"/>
      <c r="BH40" s="393"/>
      <c r="BI40" s="393"/>
      <c r="BJ40" s="394"/>
      <c r="BK40" s="33"/>
    </row>
    <row r="41" spans="1:63" ht="15" customHeight="1">
      <c r="A41" s="31"/>
      <c r="B41" s="476"/>
      <c r="C41" s="477"/>
      <c r="D41" s="477"/>
      <c r="E41" s="477"/>
      <c r="F41" s="477"/>
      <c r="G41" s="478"/>
      <c r="H41" s="485"/>
      <c r="I41" s="462"/>
      <c r="J41" s="462"/>
      <c r="K41" s="462"/>
      <c r="L41" s="462"/>
      <c r="M41" s="462"/>
      <c r="N41" s="463"/>
      <c r="O41" s="467"/>
      <c r="P41" s="468"/>
      <c r="Q41" s="468"/>
      <c r="R41" s="469"/>
      <c r="S41" s="83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389"/>
      <c r="AY41" s="390"/>
      <c r="AZ41" s="390"/>
      <c r="BA41" s="390"/>
      <c r="BB41" s="390"/>
      <c r="BC41" s="391"/>
      <c r="BD41" s="389"/>
      <c r="BE41" s="390"/>
      <c r="BF41" s="390"/>
      <c r="BG41" s="390"/>
      <c r="BH41" s="390"/>
      <c r="BI41" s="390"/>
      <c r="BJ41" s="391"/>
      <c r="BK41" s="33"/>
    </row>
    <row r="42" spans="1:63" ht="15" customHeight="1">
      <c r="A42" s="31"/>
      <c r="B42" s="482"/>
      <c r="C42" s="483"/>
      <c r="D42" s="483"/>
      <c r="E42" s="483"/>
      <c r="F42" s="483"/>
      <c r="G42" s="484"/>
      <c r="H42" s="464"/>
      <c r="I42" s="465"/>
      <c r="J42" s="465"/>
      <c r="K42" s="465"/>
      <c r="L42" s="465"/>
      <c r="M42" s="465"/>
      <c r="N42" s="466"/>
      <c r="O42" s="470"/>
      <c r="P42" s="471"/>
      <c r="Q42" s="471"/>
      <c r="R42" s="472"/>
      <c r="S42" s="85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392"/>
      <c r="AY42" s="393"/>
      <c r="AZ42" s="393"/>
      <c r="BA42" s="393"/>
      <c r="BB42" s="393"/>
      <c r="BC42" s="394"/>
      <c r="BD42" s="392"/>
      <c r="BE42" s="393"/>
      <c r="BF42" s="393"/>
      <c r="BG42" s="393"/>
      <c r="BH42" s="393"/>
      <c r="BI42" s="393"/>
      <c r="BJ42" s="394"/>
      <c r="BK42" s="33"/>
    </row>
    <row r="43" spans="1:63" ht="15" customHeight="1">
      <c r="A43" s="31"/>
      <c r="B43" s="476"/>
      <c r="C43" s="477"/>
      <c r="D43" s="477"/>
      <c r="E43" s="477"/>
      <c r="F43" s="477"/>
      <c r="G43" s="478"/>
      <c r="H43" s="461"/>
      <c r="I43" s="462"/>
      <c r="J43" s="462"/>
      <c r="K43" s="462"/>
      <c r="L43" s="462"/>
      <c r="M43" s="462"/>
      <c r="N43" s="463"/>
      <c r="O43" s="467"/>
      <c r="P43" s="468"/>
      <c r="Q43" s="468"/>
      <c r="R43" s="469"/>
      <c r="S43" s="83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389"/>
      <c r="AY43" s="390"/>
      <c r="AZ43" s="390"/>
      <c r="BA43" s="390"/>
      <c r="BB43" s="390"/>
      <c r="BC43" s="391"/>
      <c r="BD43" s="389"/>
      <c r="BE43" s="390"/>
      <c r="BF43" s="390"/>
      <c r="BG43" s="390"/>
      <c r="BH43" s="390"/>
      <c r="BI43" s="390"/>
      <c r="BJ43" s="391"/>
      <c r="BK43" s="33"/>
    </row>
    <row r="44" spans="1:63" ht="15" customHeight="1">
      <c r="A44" s="31"/>
      <c r="B44" s="482"/>
      <c r="C44" s="483"/>
      <c r="D44" s="483"/>
      <c r="E44" s="483"/>
      <c r="F44" s="483"/>
      <c r="G44" s="484"/>
      <c r="H44" s="464"/>
      <c r="I44" s="465"/>
      <c r="J44" s="465"/>
      <c r="K44" s="465"/>
      <c r="L44" s="465"/>
      <c r="M44" s="465"/>
      <c r="N44" s="466"/>
      <c r="O44" s="470"/>
      <c r="P44" s="471"/>
      <c r="Q44" s="471"/>
      <c r="R44" s="472"/>
      <c r="S44" s="83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392"/>
      <c r="AY44" s="393"/>
      <c r="AZ44" s="393"/>
      <c r="BA44" s="393"/>
      <c r="BB44" s="393"/>
      <c r="BC44" s="394"/>
      <c r="BD44" s="392"/>
      <c r="BE44" s="393"/>
      <c r="BF44" s="393"/>
      <c r="BG44" s="393"/>
      <c r="BH44" s="393"/>
      <c r="BI44" s="393"/>
      <c r="BJ44" s="394"/>
      <c r="BK44" s="33"/>
    </row>
    <row r="45" spans="1:63" ht="15" customHeight="1">
      <c r="A45" s="31"/>
      <c r="B45" s="517"/>
      <c r="C45" s="518"/>
      <c r="D45" s="518"/>
      <c r="E45" s="518"/>
      <c r="F45" s="518"/>
      <c r="G45" s="519"/>
      <c r="H45" s="449"/>
      <c r="I45" s="450"/>
      <c r="J45" s="450"/>
      <c r="K45" s="450"/>
      <c r="L45" s="450"/>
      <c r="M45" s="450"/>
      <c r="N45" s="451"/>
      <c r="O45" s="455"/>
      <c r="P45" s="456"/>
      <c r="Q45" s="456"/>
      <c r="R45" s="457"/>
      <c r="S45" s="142"/>
      <c r="T45" s="143"/>
      <c r="U45" s="143"/>
      <c r="V45" s="143"/>
      <c r="W45" s="143"/>
      <c r="X45" s="143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389"/>
      <c r="AY45" s="390"/>
      <c r="AZ45" s="390"/>
      <c r="BA45" s="390"/>
      <c r="BB45" s="390"/>
      <c r="BC45" s="391"/>
      <c r="BD45" s="389"/>
      <c r="BE45" s="390"/>
      <c r="BF45" s="390"/>
      <c r="BG45" s="390"/>
      <c r="BH45" s="390"/>
      <c r="BI45" s="390"/>
      <c r="BJ45" s="391"/>
      <c r="BK45" s="33"/>
    </row>
    <row r="46" spans="1:63" ht="15" customHeight="1">
      <c r="A46" s="31"/>
      <c r="B46" s="520"/>
      <c r="C46" s="521"/>
      <c r="D46" s="521"/>
      <c r="E46" s="521"/>
      <c r="F46" s="521"/>
      <c r="G46" s="522"/>
      <c r="H46" s="452"/>
      <c r="I46" s="453"/>
      <c r="J46" s="453"/>
      <c r="K46" s="453"/>
      <c r="L46" s="453"/>
      <c r="M46" s="453"/>
      <c r="N46" s="454"/>
      <c r="O46" s="458"/>
      <c r="P46" s="459"/>
      <c r="Q46" s="459"/>
      <c r="R46" s="460"/>
      <c r="S46" s="142"/>
      <c r="T46" s="144"/>
      <c r="U46" s="144"/>
      <c r="V46" s="144"/>
      <c r="W46" s="144"/>
      <c r="X46" s="144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392"/>
      <c r="AY46" s="393"/>
      <c r="AZ46" s="393"/>
      <c r="BA46" s="393"/>
      <c r="BB46" s="393"/>
      <c r="BC46" s="394"/>
      <c r="BD46" s="392"/>
      <c r="BE46" s="393"/>
      <c r="BF46" s="393"/>
      <c r="BG46" s="393"/>
      <c r="BH46" s="393"/>
      <c r="BI46" s="393"/>
      <c r="BJ46" s="394"/>
      <c r="BK46" s="33"/>
    </row>
    <row r="47" spans="1:63" ht="15" customHeight="1">
      <c r="A47" s="31"/>
      <c r="B47" s="437"/>
      <c r="C47" s="438"/>
      <c r="D47" s="438"/>
      <c r="E47" s="438"/>
      <c r="F47" s="438"/>
      <c r="G47" s="439"/>
      <c r="H47" s="395"/>
      <c r="I47" s="396"/>
      <c r="J47" s="396"/>
      <c r="K47" s="396"/>
      <c r="L47" s="396"/>
      <c r="M47" s="396"/>
      <c r="N47" s="397"/>
      <c r="O47" s="401"/>
      <c r="P47" s="402"/>
      <c r="Q47" s="402"/>
      <c r="R47" s="403"/>
      <c r="S47" s="146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389"/>
      <c r="AY47" s="390"/>
      <c r="AZ47" s="390"/>
      <c r="BA47" s="390"/>
      <c r="BB47" s="390"/>
      <c r="BC47" s="391"/>
      <c r="BD47" s="389"/>
      <c r="BE47" s="390"/>
      <c r="BF47" s="390"/>
      <c r="BG47" s="390"/>
      <c r="BH47" s="390"/>
      <c r="BI47" s="390"/>
      <c r="BJ47" s="391"/>
      <c r="BK47" s="33"/>
    </row>
    <row r="48" spans="1:63" ht="15" customHeight="1">
      <c r="A48" s="31"/>
      <c r="B48" s="440"/>
      <c r="C48" s="441"/>
      <c r="D48" s="441"/>
      <c r="E48" s="441"/>
      <c r="F48" s="441"/>
      <c r="G48" s="442"/>
      <c r="H48" s="398"/>
      <c r="I48" s="399"/>
      <c r="J48" s="399"/>
      <c r="K48" s="399"/>
      <c r="L48" s="399"/>
      <c r="M48" s="399"/>
      <c r="N48" s="400"/>
      <c r="O48" s="404"/>
      <c r="P48" s="405"/>
      <c r="Q48" s="405"/>
      <c r="R48" s="406"/>
      <c r="S48" s="85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392"/>
      <c r="AY48" s="393"/>
      <c r="AZ48" s="393"/>
      <c r="BA48" s="393"/>
      <c r="BB48" s="393"/>
      <c r="BC48" s="394"/>
      <c r="BD48" s="392"/>
      <c r="BE48" s="393"/>
      <c r="BF48" s="393"/>
      <c r="BG48" s="393"/>
      <c r="BH48" s="393"/>
      <c r="BI48" s="393"/>
      <c r="BJ48" s="394"/>
      <c r="BK48" s="33"/>
    </row>
    <row r="49" spans="1:63" ht="15" customHeight="1">
      <c r="A49" s="31"/>
      <c r="B49" s="329"/>
      <c r="C49" s="330"/>
      <c r="D49" s="330"/>
      <c r="E49" s="330"/>
      <c r="F49" s="330"/>
      <c r="G49" s="331"/>
      <c r="H49" s="335"/>
      <c r="I49" s="336"/>
      <c r="J49" s="336"/>
      <c r="K49" s="336"/>
      <c r="L49" s="336"/>
      <c r="M49" s="336"/>
      <c r="N49" s="337"/>
      <c r="O49" s="341"/>
      <c r="P49" s="342"/>
      <c r="Q49" s="342"/>
      <c r="R49" s="343"/>
      <c r="S49" s="147"/>
      <c r="T49" s="148"/>
      <c r="U49" s="148"/>
      <c r="V49" s="148"/>
      <c r="W49" s="148"/>
      <c r="X49" s="148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389"/>
      <c r="AY49" s="390"/>
      <c r="AZ49" s="390"/>
      <c r="BA49" s="390"/>
      <c r="BB49" s="390"/>
      <c r="BC49" s="391"/>
      <c r="BD49" s="389"/>
      <c r="BE49" s="390"/>
      <c r="BF49" s="390"/>
      <c r="BG49" s="390"/>
      <c r="BH49" s="390"/>
      <c r="BI49" s="390"/>
      <c r="BJ49" s="391"/>
      <c r="BK49" s="33"/>
    </row>
    <row r="50" spans="1:63" ht="15" customHeight="1">
      <c r="A50" s="31"/>
      <c r="B50" s="332"/>
      <c r="C50" s="333"/>
      <c r="D50" s="333"/>
      <c r="E50" s="333"/>
      <c r="F50" s="333"/>
      <c r="G50" s="334"/>
      <c r="H50" s="338"/>
      <c r="I50" s="339"/>
      <c r="J50" s="339"/>
      <c r="K50" s="339"/>
      <c r="L50" s="339"/>
      <c r="M50" s="339"/>
      <c r="N50" s="340"/>
      <c r="O50" s="344"/>
      <c r="P50" s="345"/>
      <c r="Q50" s="345"/>
      <c r="R50" s="346"/>
      <c r="S50" s="149"/>
      <c r="T50" s="150"/>
      <c r="U50" s="150"/>
      <c r="V50" s="150"/>
      <c r="W50" s="150"/>
      <c r="X50" s="150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392"/>
      <c r="AY50" s="393"/>
      <c r="AZ50" s="393"/>
      <c r="BA50" s="393"/>
      <c r="BB50" s="393"/>
      <c r="BC50" s="394"/>
      <c r="BD50" s="392"/>
      <c r="BE50" s="393"/>
      <c r="BF50" s="393"/>
      <c r="BG50" s="393"/>
      <c r="BH50" s="393"/>
      <c r="BI50" s="393"/>
      <c r="BJ50" s="394"/>
      <c r="BK50" s="33"/>
    </row>
    <row r="51" spans="1:63" ht="15" customHeight="1">
      <c r="A51" s="31"/>
      <c r="B51" s="425"/>
      <c r="C51" s="426"/>
      <c r="D51" s="426"/>
      <c r="E51" s="426"/>
      <c r="F51" s="426"/>
      <c r="G51" s="427"/>
      <c r="H51" s="431"/>
      <c r="I51" s="432"/>
      <c r="J51" s="432"/>
      <c r="K51" s="432"/>
      <c r="L51" s="432"/>
      <c r="M51" s="432"/>
      <c r="N51" s="433"/>
      <c r="O51" s="443"/>
      <c r="P51" s="444"/>
      <c r="Q51" s="444"/>
      <c r="R51" s="445"/>
      <c r="S51" s="151"/>
      <c r="T51" s="152"/>
      <c r="U51" s="152"/>
      <c r="V51" s="152"/>
      <c r="W51" s="152"/>
      <c r="X51" s="152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389"/>
      <c r="AY51" s="390"/>
      <c r="AZ51" s="390"/>
      <c r="BA51" s="390"/>
      <c r="BB51" s="390"/>
      <c r="BC51" s="391"/>
      <c r="BD51" s="389"/>
      <c r="BE51" s="390"/>
      <c r="BF51" s="390"/>
      <c r="BG51" s="390"/>
      <c r="BH51" s="390"/>
      <c r="BI51" s="390"/>
      <c r="BJ51" s="391"/>
      <c r="BK51" s="33"/>
    </row>
    <row r="52" spans="1:63" ht="15" customHeight="1">
      <c r="A52" s="31"/>
      <c r="B52" s="428"/>
      <c r="C52" s="429"/>
      <c r="D52" s="429"/>
      <c r="E52" s="429"/>
      <c r="F52" s="429"/>
      <c r="G52" s="430"/>
      <c r="H52" s="434"/>
      <c r="I52" s="435"/>
      <c r="J52" s="435"/>
      <c r="K52" s="435"/>
      <c r="L52" s="435"/>
      <c r="M52" s="435"/>
      <c r="N52" s="436"/>
      <c r="O52" s="446"/>
      <c r="P52" s="447"/>
      <c r="Q52" s="447"/>
      <c r="R52" s="448"/>
      <c r="S52" s="153"/>
      <c r="T52" s="154"/>
      <c r="U52" s="154"/>
      <c r="V52" s="154"/>
      <c r="W52" s="154"/>
      <c r="X52" s="154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392"/>
      <c r="AY52" s="393"/>
      <c r="AZ52" s="393"/>
      <c r="BA52" s="393"/>
      <c r="BB52" s="393"/>
      <c r="BC52" s="394"/>
      <c r="BD52" s="392"/>
      <c r="BE52" s="393"/>
      <c r="BF52" s="393"/>
      <c r="BG52" s="393"/>
      <c r="BH52" s="393"/>
      <c r="BI52" s="393"/>
      <c r="BJ52" s="394"/>
      <c r="BK52" s="33"/>
    </row>
    <row r="53" spans="1:63" ht="15" customHeight="1">
      <c r="A53" s="31"/>
      <c r="B53" s="407"/>
      <c r="C53" s="408"/>
      <c r="D53" s="408"/>
      <c r="E53" s="408"/>
      <c r="F53" s="408"/>
      <c r="G53" s="409"/>
      <c r="H53" s="413"/>
      <c r="I53" s="414"/>
      <c r="J53" s="414"/>
      <c r="K53" s="414"/>
      <c r="L53" s="414"/>
      <c r="M53" s="414"/>
      <c r="N53" s="415"/>
      <c r="O53" s="419"/>
      <c r="P53" s="420"/>
      <c r="Q53" s="420"/>
      <c r="R53" s="421"/>
      <c r="S53" s="155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389"/>
      <c r="AY53" s="390"/>
      <c r="AZ53" s="390"/>
      <c r="BA53" s="390"/>
      <c r="BB53" s="390"/>
      <c r="BC53" s="391"/>
      <c r="BD53" s="389"/>
      <c r="BE53" s="390"/>
      <c r="BF53" s="390"/>
      <c r="BG53" s="390"/>
      <c r="BH53" s="390"/>
      <c r="BI53" s="390"/>
      <c r="BJ53" s="391"/>
      <c r="BK53" s="33"/>
    </row>
    <row r="54" spans="1:63" ht="15" customHeight="1">
      <c r="A54" s="31"/>
      <c r="B54" s="410"/>
      <c r="C54" s="411"/>
      <c r="D54" s="411"/>
      <c r="E54" s="411"/>
      <c r="F54" s="411"/>
      <c r="G54" s="412"/>
      <c r="H54" s="416"/>
      <c r="I54" s="417"/>
      <c r="J54" s="417"/>
      <c r="K54" s="417"/>
      <c r="L54" s="417"/>
      <c r="M54" s="417"/>
      <c r="N54" s="418"/>
      <c r="O54" s="422"/>
      <c r="P54" s="423"/>
      <c r="Q54" s="423"/>
      <c r="R54" s="424"/>
      <c r="S54" s="85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392"/>
      <c r="AY54" s="393"/>
      <c r="AZ54" s="393"/>
      <c r="BA54" s="393"/>
      <c r="BB54" s="393"/>
      <c r="BC54" s="394"/>
      <c r="BD54" s="392"/>
      <c r="BE54" s="393"/>
      <c r="BF54" s="393"/>
      <c r="BG54" s="393"/>
      <c r="BH54" s="393"/>
      <c r="BI54" s="393"/>
      <c r="BJ54" s="394"/>
      <c r="BK54" s="33"/>
    </row>
    <row r="55" spans="1:63" ht="15" customHeight="1">
      <c r="A55" s="31"/>
      <c r="B55" s="371"/>
      <c r="C55" s="372"/>
      <c r="D55" s="372"/>
      <c r="E55" s="372"/>
      <c r="F55" s="372"/>
      <c r="G55" s="373"/>
      <c r="H55" s="377"/>
      <c r="I55" s="378"/>
      <c r="J55" s="378"/>
      <c r="K55" s="378"/>
      <c r="L55" s="378"/>
      <c r="M55" s="378"/>
      <c r="N55" s="379"/>
      <c r="O55" s="383"/>
      <c r="P55" s="384"/>
      <c r="Q55" s="384"/>
      <c r="R55" s="385"/>
      <c r="S55" s="156"/>
      <c r="T55" s="157"/>
      <c r="U55" s="157"/>
      <c r="V55" s="157"/>
      <c r="W55" s="157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389"/>
      <c r="AY55" s="390"/>
      <c r="AZ55" s="390"/>
      <c r="BA55" s="390"/>
      <c r="BB55" s="390"/>
      <c r="BC55" s="391"/>
      <c r="BD55" s="389"/>
      <c r="BE55" s="390"/>
      <c r="BF55" s="390"/>
      <c r="BG55" s="390"/>
      <c r="BH55" s="390"/>
      <c r="BI55" s="390"/>
      <c r="BJ55" s="391"/>
      <c r="BK55" s="33"/>
    </row>
    <row r="56" spans="1:63" ht="15" customHeight="1">
      <c r="A56" s="31"/>
      <c r="B56" s="374"/>
      <c r="C56" s="375"/>
      <c r="D56" s="375"/>
      <c r="E56" s="375"/>
      <c r="F56" s="375"/>
      <c r="G56" s="376"/>
      <c r="H56" s="380"/>
      <c r="I56" s="381"/>
      <c r="J56" s="381"/>
      <c r="K56" s="381"/>
      <c r="L56" s="381"/>
      <c r="M56" s="381"/>
      <c r="N56" s="382"/>
      <c r="O56" s="386"/>
      <c r="P56" s="387"/>
      <c r="Q56" s="387"/>
      <c r="R56" s="388"/>
      <c r="S56" s="156"/>
      <c r="T56" s="158"/>
      <c r="U56" s="158"/>
      <c r="V56" s="158"/>
      <c r="W56" s="158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392"/>
      <c r="AY56" s="393"/>
      <c r="AZ56" s="393"/>
      <c r="BA56" s="393"/>
      <c r="BB56" s="393"/>
      <c r="BC56" s="394"/>
      <c r="BD56" s="392"/>
      <c r="BE56" s="393"/>
      <c r="BF56" s="393"/>
      <c r="BG56" s="393"/>
      <c r="BH56" s="393"/>
      <c r="BI56" s="393"/>
      <c r="BJ56" s="394"/>
      <c r="BK56" s="33"/>
    </row>
    <row r="57" spans="1:63" ht="15" customHeight="1">
      <c r="A57" s="31"/>
      <c r="B57" s="353"/>
      <c r="C57" s="354"/>
      <c r="D57" s="354"/>
      <c r="E57" s="354"/>
      <c r="F57" s="354"/>
      <c r="G57" s="355"/>
      <c r="H57" s="359"/>
      <c r="I57" s="360"/>
      <c r="J57" s="360"/>
      <c r="K57" s="360"/>
      <c r="L57" s="360"/>
      <c r="M57" s="360"/>
      <c r="N57" s="361"/>
      <c r="O57" s="365"/>
      <c r="P57" s="366"/>
      <c r="Q57" s="366"/>
      <c r="R57" s="367"/>
      <c r="S57" s="161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389"/>
      <c r="AY57" s="390"/>
      <c r="AZ57" s="390"/>
      <c r="BA57" s="390"/>
      <c r="BB57" s="390"/>
      <c r="BC57" s="391"/>
      <c r="BD57" s="389"/>
      <c r="BE57" s="390"/>
      <c r="BF57" s="390"/>
      <c r="BG57" s="390"/>
      <c r="BH57" s="390"/>
      <c r="BI57" s="390"/>
      <c r="BJ57" s="391"/>
      <c r="BK57" s="33"/>
    </row>
    <row r="58" spans="1:63" ht="15" customHeight="1">
      <c r="A58" s="31"/>
      <c r="B58" s="356"/>
      <c r="C58" s="357"/>
      <c r="D58" s="357"/>
      <c r="E58" s="357"/>
      <c r="F58" s="357"/>
      <c r="G58" s="358"/>
      <c r="H58" s="362"/>
      <c r="I58" s="363"/>
      <c r="J58" s="363"/>
      <c r="K58" s="363"/>
      <c r="L58" s="363"/>
      <c r="M58" s="363"/>
      <c r="N58" s="364"/>
      <c r="O58" s="368"/>
      <c r="P58" s="369"/>
      <c r="Q58" s="369"/>
      <c r="R58" s="370"/>
      <c r="S58" s="85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392"/>
      <c r="AY58" s="393"/>
      <c r="AZ58" s="393"/>
      <c r="BA58" s="393"/>
      <c r="BB58" s="393"/>
      <c r="BC58" s="394"/>
      <c r="BD58" s="392"/>
      <c r="BE58" s="393"/>
      <c r="BF58" s="393"/>
      <c r="BG58" s="393"/>
      <c r="BH58" s="393"/>
      <c r="BI58" s="393"/>
      <c r="BJ58" s="394"/>
      <c r="BK58" s="33"/>
    </row>
    <row r="59" spans="1:63" s="92" customFormat="1" ht="15" customHeight="1">
      <c r="A59" s="162"/>
      <c r="B59" s="329"/>
      <c r="C59" s="330"/>
      <c r="D59" s="330"/>
      <c r="E59" s="330"/>
      <c r="F59" s="330"/>
      <c r="G59" s="331"/>
      <c r="H59" s="335"/>
      <c r="I59" s="336"/>
      <c r="J59" s="336"/>
      <c r="K59" s="336"/>
      <c r="L59" s="336"/>
      <c r="M59" s="336"/>
      <c r="N59" s="337"/>
      <c r="O59" s="341"/>
      <c r="P59" s="342"/>
      <c r="Q59" s="342"/>
      <c r="R59" s="343"/>
      <c r="S59" s="147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347"/>
      <c r="AY59" s="348"/>
      <c r="AZ59" s="348"/>
      <c r="BA59" s="348"/>
      <c r="BB59" s="348"/>
      <c r="BC59" s="349"/>
      <c r="BD59" s="347"/>
      <c r="BE59" s="348"/>
      <c r="BF59" s="348"/>
      <c r="BG59" s="348"/>
      <c r="BH59" s="348"/>
      <c r="BI59" s="348"/>
      <c r="BJ59" s="349"/>
      <c r="BK59" s="163"/>
    </row>
    <row r="60" spans="1:63" s="92" customFormat="1" ht="15" customHeight="1">
      <c r="A60" s="162"/>
      <c r="B60" s="332"/>
      <c r="C60" s="333"/>
      <c r="D60" s="333"/>
      <c r="E60" s="333"/>
      <c r="F60" s="333"/>
      <c r="G60" s="334"/>
      <c r="H60" s="338"/>
      <c r="I60" s="339"/>
      <c r="J60" s="339"/>
      <c r="K60" s="339"/>
      <c r="L60" s="339"/>
      <c r="M60" s="339"/>
      <c r="N60" s="340"/>
      <c r="O60" s="344"/>
      <c r="P60" s="345"/>
      <c r="Q60" s="345"/>
      <c r="R60" s="346"/>
      <c r="S60" s="149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350"/>
      <c r="AY60" s="351"/>
      <c r="AZ60" s="351"/>
      <c r="BA60" s="351"/>
      <c r="BB60" s="351"/>
      <c r="BC60" s="352"/>
      <c r="BD60" s="350"/>
      <c r="BE60" s="351"/>
      <c r="BF60" s="351"/>
      <c r="BG60" s="351"/>
      <c r="BH60" s="351"/>
      <c r="BI60" s="351"/>
      <c r="BJ60" s="352"/>
      <c r="BK60" s="163"/>
    </row>
    <row r="61" spans="1:63" s="92" customFormat="1" ht="15" customHeight="1">
      <c r="A61" s="162"/>
      <c r="B61" s="499"/>
      <c r="C61" s="500"/>
      <c r="D61" s="500"/>
      <c r="E61" s="500"/>
      <c r="F61" s="500"/>
      <c r="G61" s="501"/>
      <c r="H61" s="505"/>
      <c r="I61" s="506"/>
      <c r="J61" s="506"/>
      <c r="K61" s="506"/>
      <c r="L61" s="506"/>
      <c r="M61" s="506"/>
      <c r="N61" s="507"/>
      <c r="O61" s="511"/>
      <c r="P61" s="512"/>
      <c r="Q61" s="512"/>
      <c r="R61" s="513"/>
      <c r="S61" s="164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347"/>
      <c r="AY61" s="348"/>
      <c r="AZ61" s="348"/>
      <c r="BA61" s="348"/>
      <c r="BB61" s="348"/>
      <c r="BC61" s="349"/>
      <c r="BD61" s="347"/>
      <c r="BE61" s="348"/>
      <c r="BF61" s="348"/>
      <c r="BG61" s="348"/>
      <c r="BH61" s="348"/>
      <c r="BI61" s="348"/>
      <c r="BJ61" s="349"/>
      <c r="BK61" s="163"/>
    </row>
    <row r="62" spans="1:63" s="92" customFormat="1" ht="15" customHeight="1">
      <c r="A62" s="162"/>
      <c r="B62" s="502"/>
      <c r="C62" s="503"/>
      <c r="D62" s="503"/>
      <c r="E62" s="503"/>
      <c r="F62" s="503"/>
      <c r="G62" s="504"/>
      <c r="H62" s="508"/>
      <c r="I62" s="509"/>
      <c r="J62" s="509"/>
      <c r="K62" s="509"/>
      <c r="L62" s="509"/>
      <c r="M62" s="509"/>
      <c r="N62" s="510"/>
      <c r="O62" s="514"/>
      <c r="P62" s="515"/>
      <c r="Q62" s="515"/>
      <c r="R62" s="516"/>
      <c r="S62" s="166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350"/>
      <c r="AY62" s="351"/>
      <c r="AZ62" s="351"/>
      <c r="BA62" s="351"/>
      <c r="BB62" s="351"/>
      <c r="BC62" s="352"/>
      <c r="BD62" s="350"/>
      <c r="BE62" s="351"/>
      <c r="BF62" s="351"/>
      <c r="BG62" s="351"/>
      <c r="BH62" s="351"/>
      <c r="BI62" s="351"/>
      <c r="BJ62" s="352"/>
      <c r="BK62" s="163"/>
    </row>
    <row r="63" spans="1:63" ht="15" customHeight="1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8"/>
    </row>
  </sheetData>
  <mergeCells count="148">
    <mergeCell ref="B61:G62"/>
    <mergeCell ref="H61:N62"/>
    <mergeCell ref="O61:R62"/>
    <mergeCell ref="AX61:BC62"/>
    <mergeCell ref="BD61:BJ62"/>
    <mergeCell ref="O39:R40"/>
    <mergeCell ref="AX39:BC40"/>
    <mergeCell ref="BD39:BJ40"/>
    <mergeCell ref="B37:G38"/>
    <mergeCell ref="H37:N38"/>
    <mergeCell ref="O37:R38"/>
    <mergeCell ref="AX37:BC38"/>
    <mergeCell ref="BD37:BJ38"/>
    <mergeCell ref="B43:G44"/>
    <mergeCell ref="H43:N44"/>
    <mergeCell ref="O43:R44"/>
    <mergeCell ref="AX43:BC44"/>
    <mergeCell ref="BD43:BJ44"/>
    <mergeCell ref="B41:G42"/>
    <mergeCell ref="H41:N42"/>
    <mergeCell ref="O41:R42"/>
    <mergeCell ref="AX41:BC42"/>
    <mergeCell ref="BD41:BJ42"/>
    <mergeCell ref="B45:G46"/>
    <mergeCell ref="AX31:BC32"/>
    <mergeCell ref="BD31:BJ32"/>
    <mergeCell ref="B28:G30"/>
    <mergeCell ref="H28:N30"/>
    <mergeCell ref="O28:R30"/>
    <mergeCell ref="AX28:BC30"/>
    <mergeCell ref="BD28:BJ30"/>
    <mergeCell ref="B35:G36"/>
    <mergeCell ref="H35:N36"/>
    <mergeCell ref="O35:R36"/>
    <mergeCell ref="AX35:BC36"/>
    <mergeCell ref="BD35:BJ36"/>
    <mergeCell ref="B33:G34"/>
    <mergeCell ref="H33:N34"/>
    <mergeCell ref="O33:R34"/>
    <mergeCell ref="S33:AW33"/>
    <mergeCell ref="AX33:BC34"/>
    <mergeCell ref="BD33:BJ34"/>
    <mergeCell ref="A1:J1"/>
    <mergeCell ref="BH2:BK3"/>
    <mergeCell ref="BC2:BG3"/>
    <mergeCell ref="AY2:BB3"/>
    <mergeCell ref="AT2:AX3"/>
    <mergeCell ref="AP2:AS3"/>
    <mergeCell ref="AP1:AS1"/>
    <mergeCell ref="W1:AO3"/>
    <mergeCell ref="K1:V1"/>
    <mergeCell ref="K2:V3"/>
    <mergeCell ref="A2:J3"/>
    <mergeCell ref="BD13:BJ14"/>
    <mergeCell ref="BH1:BK1"/>
    <mergeCell ref="BC1:BG1"/>
    <mergeCell ref="AY1:BB1"/>
    <mergeCell ref="AT1:AX1"/>
    <mergeCell ref="AP4:BK4"/>
    <mergeCell ref="BD10:BJ10"/>
    <mergeCell ref="AX11:BC12"/>
    <mergeCell ref="BD11:BJ12"/>
    <mergeCell ref="AX23:BC25"/>
    <mergeCell ref="BD23:BJ25"/>
    <mergeCell ref="H23:N25"/>
    <mergeCell ref="AX19:BC20"/>
    <mergeCell ref="AX15:BC16"/>
    <mergeCell ref="AX17:BC18"/>
    <mergeCell ref="O19:R20"/>
    <mergeCell ref="O15:R16"/>
    <mergeCell ref="AX26:BC27"/>
    <mergeCell ref="BD26:BJ27"/>
    <mergeCell ref="BD19:BJ20"/>
    <mergeCell ref="AX21:BC22"/>
    <mergeCell ref="BD21:BJ22"/>
    <mergeCell ref="BD15:BJ16"/>
    <mergeCell ref="BD17:BJ18"/>
    <mergeCell ref="Z4:AO4"/>
    <mergeCell ref="AX13:BC14"/>
    <mergeCell ref="A4:G4"/>
    <mergeCell ref="B11:G12"/>
    <mergeCell ref="H11:N12"/>
    <mergeCell ref="AX10:BC10"/>
    <mergeCell ref="O11:R12"/>
    <mergeCell ref="B13:G14"/>
    <mergeCell ref="H13:N14"/>
    <mergeCell ref="O13:R14"/>
    <mergeCell ref="U4:Y4"/>
    <mergeCell ref="H45:N46"/>
    <mergeCell ref="O45:R46"/>
    <mergeCell ref="H4:T4"/>
    <mergeCell ref="H21:N22"/>
    <mergeCell ref="O21:R22"/>
    <mergeCell ref="O23:R25"/>
    <mergeCell ref="B23:G25"/>
    <mergeCell ref="B21:G22"/>
    <mergeCell ref="B19:G20"/>
    <mergeCell ref="H19:N20"/>
    <mergeCell ref="B15:G16"/>
    <mergeCell ref="H15:N16"/>
    <mergeCell ref="B26:G27"/>
    <mergeCell ref="H26:N27"/>
    <mergeCell ref="O26:R27"/>
    <mergeCell ref="B31:G32"/>
    <mergeCell ref="H31:N32"/>
    <mergeCell ref="O31:R32"/>
    <mergeCell ref="B17:G18"/>
    <mergeCell ref="H17:N18"/>
    <mergeCell ref="O17:R18"/>
    <mergeCell ref="B39:G40"/>
    <mergeCell ref="H39:N40"/>
    <mergeCell ref="BD51:BJ52"/>
    <mergeCell ref="AX53:BC54"/>
    <mergeCell ref="BD53:BJ54"/>
    <mergeCell ref="AX51:BC52"/>
    <mergeCell ref="AX45:BC46"/>
    <mergeCell ref="BD45:BJ46"/>
    <mergeCell ref="AX55:BC56"/>
    <mergeCell ref="BD55:BJ56"/>
    <mergeCell ref="BD49:BJ50"/>
    <mergeCell ref="BD47:BJ48"/>
    <mergeCell ref="H47:N48"/>
    <mergeCell ref="O47:R48"/>
    <mergeCell ref="AX49:BC50"/>
    <mergeCell ref="B53:G54"/>
    <mergeCell ref="H53:N54"/>
    <mergeCell ref="O53:R54"/>
    <mergeCell ref="B51:G52"/>
    <mergeCell ref="H51:N52"/>
    <mergeCell ref="AX47:BC48"/>
    <mergeCell ref="B47:G48"/>
    <mergeCell ref="B49:G50"/>
    <mergeCell ref="H49:N50"/>
    <mergeCell ref="O49:R50"/>
    <mergeCell ref="O51:R52"/>
    <mergeCell ref="B59:G60"/>
    <mergeCell ref="H59:N60"/>
    <mergeCell ref="O59:R60"/>
    <mergeCell ref="AX59:BC60"/>
    <mergeCell ref="BD59:BJ60"/>
    <mergeCell ref="B57:G58"/>
    <mergeCell ref="H57:N58"/>
    <mergeCell ref="O57:R58"/>
    <mergeCell ref="B55:G56"/>
    <mergeCell ref="H55:N56"/>
    <mergeCell ref="O55:R56"/>
    <mergeCell ref="AX57:BC58"/>
    <mergeCell ref="BD57:BJ58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N75"/>
  <sheetViews>
    <sheetView showGridLines="0" view="pageBreakPreview" zoomScaleNormal="75" zoomScaleSheetLayoutView="100" workbookViewId="0">
      <selection sqref="A1:J1"/>
    </sheetView>
  </sheetViews>
  <sheetFormatPr defaultColWidth="3.77734375" defaultRowHeight="19.5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92" ht="24.95" customHeight="1">
      <c r="A1" s="297" t="s">
        <v>25</v>
      </c>
      <c r="B1" s="298"/>
      <c r="C1" s="298"/>
      <c r="D1" s="298"/>
      <c r="E1" s="298"/>
      <c r="F1" s="298"/>
      <c r="G1" s="298"/>
      <c r="H1" s="298"/>
      <c r="I1" s="298"/>
      <c r="J1" s="299"/>
      <c r="K1" s="297" t="s">
        <v>26</v>
      </c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9"/>
      <c r="W1" s="300" t="str">
        <f>IF(Bìa!W1="","",Bìa!W1)</f>
        <v>TKCB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297" t="s">
        <v>18</v>
      </c>
      <c r="AQ1" s="298"/>
      <c r="AR1" s="298"/>
      <c r="AS1" s="299"/>
      <c r="AT1" s="297" t="s">
        <v>19</v>
      </c>
      <c r="AU1" s="298"/>
      <c r="AV1" s="298"/>
      <c r="AW1" s="298"/>
      <c r="AX1" s="299"/>
      <c r="AY1" s="297" t="s">
        <v>20</v>
      </c>
      <c r="AZ1" s="298"/>
      <c r="BA1" s="298"/>
      <c r="BB1" s="299"/>
      <c r="BC1" s="297" t="s">
        <v>21</v>
      </c>
      <c r="BD1" s="298"/>
      <c r="BE1" s="298"/>
      <c r="BF1" s="298"/>
      <c r="BG1" s="299"/>
      <c r="BH1" s="297" t="s">
        <v>2</v>
      </c>
      <c r="BI1" s="298"/>
      <c r="BJ1" s="298"/>
      <c r="BK1" s="299"/>
    </row>
    <row r="2" spans="1:92" ht="15" customHeight="1">
      <c r="A2" s="313" t="str">
        <f>IF(Bìa!A2="","",Bìa!A2)</f>
        <v>Manager User</v>
      </c>
      <c r="B2" s="292"/>
      <c r="C2" s="292"/>
      <c r="D2" s="292"/>
      <c r="E2" s="292"/>
      <c r="F2" s="292"/>
      <c r="G2" s="292"/>
      <c r="H2" s="292"/>
      <c r="I2" s="292"/>
      <c r="J2" s="293"/>
      <c r="K2" s="313" t="str">
        <f>IF(Bìa!K2="","",Bìa!K2)</f>
        <v>Thiết kế API</v>
      </c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3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313" t="str">
        <f>IF(Bìa!AP2="","",Bìa!AP2)</f>
        <v>ThanhPD</v>
      </c>
      <c r="AQ2" s="292"/>
      <c r="AR2" s="292"/>
      <c r="AS2" s="293"/>
      <c r="AT2" s="314">
        <f>IF(Bìa!AT2="","",Bìa!AT2)</f>
        <v>44930</v>
      </c>
      <c r="AU2" s="315"/>
      <c r="AV2" s="315"/>
      <c r="AW2" s="315"/>
      <c r="AX2" s="316"/>
      <c r="AY2" s="313" t="str">
        <f>IF(Bìa!AY2="","",Bìa!AY2)</f>
        <v>ThanhPD</v>
      </c>
      <c r="AZ2" s="292"/>
      <c r="BA2" s="292"/>
      <c r="BB2" s="293"/>
      <c r="BC2" s="314">
        <f>IF(Bìa!BC2="","",Bìa!BC2)</f>
        <v>44930</v>
      </c>
      <c r="BD2" s="315"/>
      <c r="BE2" s="315"/>
      <c r="BF2" s="315"/>
      <c r="BG2" s="316"/>
      <c r="BH2" s="313">
        <f>IF(Bìa!BH2="","",Bìa!BH2)</f>
        <v>0.1</v>
      </c>
      <c r="BI2" s="292"/>
      <c r="BJ2" s="292"/>
      <c r="BK2" s="293"/>
    </row>
    <row r="3" spans="1:92" ht="15" customHeight="1">
      <c r="A3" s="294"/>
      <c r="B3" s="295"/>
      <c r="C3" s="295"/>
      <c r="D3" s="295"/>
      <c r="E3" s="295"/>
      <c r="F3" s="295"/>
      <c r="G3" s="295"/>
      <c r="H3" s="295"/>
      <c r="I3" s="295"/>
      <c r="J3" s="296"/>
      <c r="K3" s="294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6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294"/>
      <c r="AQ3" s="295"/>
      <c r="AR3" s="295"/>
      <c r="AS3" s="296"/>
      <c r="AT3" s="317"/>
      <c r="AU3" s="318"/>
      <c r="AV3" s="318"/>
      <c r="AW3" s="318"/>
      <c r="AX3" s="319"/>
      <c r="AY3" s="294"/>
      <c r="AZ3" s="295"/>
      <c r="BA3" s="295"/>
      <c r="BB3" s="296"/>
      <c r="BC3" s="317"/>
      <c r="BD3" s="318"/>
      <c r="BE3" s="318"/>
      <c r="BF3" s="318"/>
      <c r="BG3" s="319"/>
      <c r="BH3" s="294"/>
      <c r="BI3" s="295"/>
      <c r="BJ3" s="295"/>
      <c r="BK3" s="296"/>
    </row>
    <row r="4" spans="1:92" ht="24.95" customHeight="1">
      <c r="A4" s="297" t="s">
        <v>17</v>
      </c>
      <c r="B4" s="298"/>
      <c r="C4" s="298"/>
      <c r="D4" s="298"/>
      <c r="E4" s="298"/>
      <c r="F4" s="298"/>
      <c r="G4" s="299"/>
      <c r="H4" s="309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297" t="s">
        <v>22</v>
      </c>
      <c r="V4" s="298"/>
      <c r="W4" s="298"/>
      <c r="X4" s="298"/>
      <c r="Y4" s="299"/>
      <c r="Z4" s="309" t="str">
        <f>IF(Bìa!Z4="","",Bìa!Z4)</f>
        <v>Update Employee</v>
      </c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1"/>
      <c r="AP4" s="309" t="s">
        <v>15</v>
      </c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1"/>
    </row>
    <row r="5" spans="1:92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92" s="4" customFormat="1" ht="15" customHeight="1">
      <c r="A6" s="53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4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>
      <c r="A7" s="5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51"/>
      <c r="AQ7" s="51"/>
      <c r="AR7" s="56"/>
      <c r="AS7" s="51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92" ht="15" customHeight="1">
      <c r="A8" s="23"/>
      <c r="B8" s="57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51"/>
      <c r="AQ8" s="51"/>
      <c r="AR8" s="51"/>
      <c r="AS8" s="51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92" ht="15" customHeight="1">
      <c r="A9" s="23"/>
      <c r="B9" s="57"/>
      <c r="C9" s="52" t="s">
        <v>142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51"/>
      <c r="AQ9" s="51"/>
      <c r="AR9" s="51"/>
      <c r="AS9" s="51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92" ht="15" customHeight="1">
      <c r="A10" s="23"/>
      <c r="B10" s="24"/>
      <c r="C10" s="141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92" ht="15" customHeight="1">
      <c r="A11" s="23"/>
      <c r="B11" s="64" t="s">
        <v>32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92" ht="15" customHeight="1">
      <c r="A12" s="23"/>
      <c r="B12" s="24"/>
      <c r="C12" s="57" t="s">
        <v>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92" ht="15" customHeight="1">
      <c r="A13" s="23"/>
      <c r="B13" s="24"/>
      <c r="C13" s="40" t="s">
        <v>27</v>
      </c>
      <c r="D13" s="41"/>
      <c r="E13" s="75" t="s">
        <v>37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0" t="s">
        <v>38</v>
      </c>
      <c r="X13" s="44"/>
      <c r="Y13" s="44"/>
      <c r="Z13" s="45"/>
      <c r="AA13" s="45"/>
      <c r="AB13" s="45"/>
      <c r="AC13" s="45"/>
      <c r="AD13" s="45"/>
      <c r="AE13" s="44"/>
      <c r="AF13" s="44"/>
      <c r="AG13" s="44"/>
      <c r="AH13" s="41"/>
      <c r="AI13" s="40" t="s">
        <v>9</v>
      </c>
      <c r="AJ13" s="44"/>
      <c r="AK13" s="44"/>
      <c r="AL13" s="44"/>
      <c r="AM13" s="45"/>
      <c r="AN13" s="48"/>
      <c r="AO13" s="48"/>
      <c r="AP13" s="49"/>
      <c r="AQ13" s="40" t="s">
        <v>28</v>
      </c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24"/>
      <c r="BK13" s="25"/>
    </row>
    <row r="14" spans="1:92" ht="15" customHeight="1">
      <c r="A14" s="23"/>
      <c r="B14" s="24"/>
      <c r="C14" s="42">
        <v>1</v>
      </c>
      <c r="D14" s="43"/>
      <c r="E14" s="81" t="s">
        <v>99</v>
      </c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1" t="str">
        <f>Z4</f>
        <v>Update Employee</v>
      </c>
      <c r="X14" s="82"/>
      <c r="Y14" s="82"/>
      <c r="Z14" s="46"/>
      <c r="AA14" s="46"/>
      <c r="AB14" s="46"/>
      <c r="AC14" s="46"/>
      <c r="AD14" s="46"/>
      <c r="AE14" s="47"/>
      <c r="AF14" s="47"/>
      <c r="AG14" s="47"/>
      <c r="AH14" s="43"/>
      <c r="AI14" s="251" t="s">
        <v>155</v>
      </c>
      <c r="AJ14" s="244"/>
      <c r="AK14" s="244"/>
      <c r="AL14" s="242"/>
      <c r="AM14" s="243"/>
      <c r="AN14" s="242"/>
      <c r="AO14" s="47"/>
      <c r="AP14" s="43"/>
      <c r="AQ14" s="50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3"/>
      <c r="BJ14" s="24"/>
      <c r="BK14" s="25"/>
    </row>
    <row r="15" spans="1:92" ht="15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92" ht="15" customHeight="1">
      <c r="A16" s="23"/>
      <c r="B16" s="24"/>
      <c r="C16" s="57" t="s">
        <v>10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24"/>
      <c r="C17" s="40" t="s">
        <v>27</v>
      </c>
      <c r="D17" s="41"/>
      <c r="E17" s="40" t="s">
        <v>11</v>
      </c>
      <c r="F17" s="44"/>
      <c r="G17" s="44"/>
      <c r="H17" s="44"/>
      <c r="I17" s="62"/>
      <c r="J17" s="62"/>
      <c r="K17" s="41"/>
      <c r="L17" s="40" t="s">
        <v>12</v>
      </c>
      <c r="M17" s="44"/>
      <c r="N17" s="44"/>
      <c r="O17" s="44"/>
      <c r="P17" s="62"/>
      <c r="Q17" s="62"/>
      <c r="R17" s="41"/>
      <c r="S17" s="40" t="s">
        <v>29</v>
      </c>
      <c r="T17" s="44"/>
      <c r="U17" s="44"/>
      <c r="V17" s="44"/>
      <c r="W17" s="62"/>
      <c r="X17" s="62"/>
      <c r="Y17" s="41"/>
      <c r="Z17" s="40" t="s">
        <v>13</v>
      </c>
      <c r="AA17" s="44"/>
      <c r="AB17" s="44"/>
      <c r="AC17" s="44"/>
      <c r="AD17" s="62"/>
      <c r="AE17" s="62"/>
      <c r="AF17" s="41"/>
      <c r="AG17" s="40" t="s">
        <v>30</v>
      </c>
      <c r="AH17" s="44"/>
      <c r="AI17" s="44"/>
      <c r="AJ17" s="44"/>
      <c r="AK17" s="62"/>
      <c r="AL17" s="62"/>
      <c r="AM17" s="44"/>
      <c r="AN17" s="44"/>
      <c r="AO17" s="44"/>
      <c r="AP17" s="63"/>
      <c r="AQ17" s="40" t="s">
        <v>28</v>
      </c>
      <c r="AR17" s="44"/>
      <c r="AS17" s="44"/>
      <c r="AT17" s="44"/>
      <c r="AU17" s="44"/>
      <c r="AV17" s="44"/>
      <c r="AW17" s="44"/>
      <c r="AX17" s="44"/>
      <c r="AY17" s="44"/>
      <c r="AZ17" s="44"/>
      <c r="BA17" s="48"/>
      <c r="BB17" s="48"/>
      <c r="BC17" s="48"/>
      <c r="BD17" s="48"/>
      <c r="BE17" s="48"/>
      <c r="BF17" s="48"/>
      <c r="BG17" s="48"/>
      <c r="BH17" s="48"/>
      <c r="BI17" s="49"/>
      <c r="BJ17" s="24"/>
      <c r="BK17" s="25"/>
    </row>
    <row r="18" spans="1:63" ht="15" customHeight="1">
      <c r="A18" s="23"/>
      <c r="B18" s="24"/>
      <c r="C18" s="53">
        <v>1</v>
      </c>
      <c r="D18" s="54"/>
      <c r="E18" s="53"/>
      <c r="F18" s="140" t="s">
        <v>58</v>
      </c>
      <c r="G18" s="51"/>
      <c r="H18" s="51"/>
      <c r="I18" s="3"/>
      <c r="J18" s="3"/>
      <c r="K18" s="54"/>
      <c r="L18" s="53"/>
      <c r="M18" s="3"/>
      <c r="N18" s="51"/>
      <c r="O18" s="3"/>
      <c r="P18" s="39"/>
      <c r="Q18" s="39"/>
      <c r="R18" s="78"/>
      <c r="S18" s="137" t="s">
        <v>43</v>
      </c>
      <c r="T18" s="39"/>
      <c r="U18" s="39"/>
      <c r="V18" s="39"/>
      <c r="W18" s="39"/>
      <c r="X18" s="39"/>
      <c r="Y18" s="78"/>
      <c r="Z18" s="93" t="s">
        <v>36</v>
      </c>
      <c r="AA18" s="39"/>
      <c r="AB18" s="51"/>
      <c r="AC18" s="51"/>
      <c r="AD18" s="51"/>
      <c r="AE18" s="51"/>
      <c r="AF18" s="54"/>
      <c r="AG18" s="168" t="s">
        <v>50</v>
      </c>
      <c r="AH18" s="51"/>
      <c r="AI18" s="51"/>
      <c r="AJ18" s="51"/>
      <c r="AK18" s="51"/>
      <c r="AL18" s="51"/>
      <c r="AM18" s="51"/>
      <c r="AN18" s="51"/>
      <c r="AO18" s="51"/>
      <c r="AP18" s="78"/>
      <c r="AQ18" s="523" t="s">
        <v>101</v>
      </c>
      <c r="AR18" s="524"/>
      <c r="AS18" s="524"/>
      <c r="AT18" s="524"/>
      <c r="AU18" s="524"/>
      <c r="AV18" s="524"/>
      <c r="AW18" s="524"/>
      <c r="AX18" s="524"/>
      <c r="AY18" s="524"/>
      <c r="AZ18" s="524"/>
      <c r="BA18" s="524"/>
      <c r="BB18" s="524"/>
      <c r="BC18" s="524"/>
      <c r="BD18" s="524"/>
      <c r="BE18" s="524"/>
      <c r="BF18" s="524"/>
      <c r="BG18" s="524"/>
      <c r="BH18" s="524"/>
      <c r="BI18" s="525"/>
      <c r="BJ18" s="24"/>
      <c r="BK18" s="25"/>
    </row>
    <row r="19" spans="1:63" ht="15" customHeight="1">
      <c r="A19" s="23"/>
      <c r="B19" s="24"/>
      <c r="C19" s="53"/>
      <c r="D19" s="54"/>
      <c r="E19" s="137"/>
      <c r="F19" s="140" t="s">
        <v>59</v>
      </c>
      <c r="G19" s="140"/>
      <c r="H19" s="140"/>
      <c r="I19" s="172"/>
      <c r="J19" s="172"/>
      <c r="K19" s="107"/>
      <c r="L19" s="137"/>
      <c r="M19" s="172"/>
      <c r="N19" s="140"/>
      <c r="O19" s="172"/>
      <c r="P19" s="138"/>
      <c r="Q19" s="138"/>
      <c r="R19" s="139"/>
      <c r="S19" s="137" t="s">
        <v>43</v>
      </c>
      <c r="T19" s="138"/>
      <c r="U19" s="138"/>
      <c r="V19" s="138"/>
      <c r="W19" s="138"/>
      <c r="X19" s="138"/>
      <c r="Y19" s="139"/>
      <c r="Z19" s="173" t="s">
        <v>36</v>
      </c>
      <c r="AA19" s="138"/>
      <c r="AB19" s="140"/>
      <c r="AC19" s="140"/>
      <c r="AD19" s="140"/>
      <c r="AE19" s="140"/>
      <c r="AF19" s="107"/>
      <c r="AG19" s="137" t="s">
        <v>100</v>
      </c>
      <c r="AH19" s="140"/>
      <c r="AI19" s="140"/>
      <c r="AJ19" s="140"/>
      <c r="AK19" s="140"/>
      <c r="AL19" s="140"/>
      <c r="AM19" s="140"/>
      <c r="AN19" s="140"/>
      <c r="AO19" s="140"/>
      <c r="AP19" s="139"/>
      <c r="AQ19" s="523" t="s">
        <v>101</v>
      </c>
      <c r="AR19" s="524"/>
      <c r="AS19" s="524"/>
      <c r="AT19" s="524"/>
      <c r="AU19" s="524"/>
      <c r="AV19" s="524"/>
      <c r="AW19" s="524"/>
      <c r="AX19" s="524"/>
      <c r="AY19" s="524"/>
      <c r="AZ19" s="524"/>
      <c r="BA19" s="524"/>
      <c r="BB19" s="524"/>
      <c r="BC19" s="524"/>
      <c r="BD19" s="524"/>
      <c r="BE19" s="524"/>
      <c r="BF19" s="524"/>
      <c r="BG19" s="524"/>
      <c r="BH19" s="524"/>
      <c r="BI19" s="525"/>
      <c r="BJ19" s="24"/>
      <c r="BK19" s="25"/>
    </row>
    <row r="20" spans="1:63" ht="18" customHeight="1">
      <c r="A20" s="23"/>
      <c r="B20" s="24"/>
      <c r="C20" s="168">
        <v>2</v>
      </c>
      <c r="D20" s="169"/>
      <c r="E20" s="168" t="s">
        <v>102</v>
      </c>
      <c r="F20" s="76"/>
      <c r="G20" s="76"/>
      <c r="H20" s="76"/>
      <c r="I20" s="87"/>
      <c r="J20" s="87"/>
      <c r="K20" s="169"/>
      <c r="L20" s="168" t="s">
        <v>35</v>
      </c>
      <c r="M20" s="87"/>
      <c r="N20" s="76"/>
      <c r="O20" s="87"/>
      <c r="P20" s="59"/>
      <c r="Q20" s="59"/>
      <c r="R20" s="77"/>
      <c r="S20" s="216" t="s">
        <v>165</v>
      </c>
      <c r="T20" s="59"/>
      <c r="U20" s="59"/>
      <c r="V20" s="59"/>
      <c r="W20" s="59"/>
      <c r="X20" s="59"/>
      <c r="Y20" s="77"/>
      <c r="Z20" s="93" t="s">
        <v>103</v>
      </c>
      <c r="AA20" s="59"/>
      <c r="AB20" s="76"/>
      <c r="AC20" s="76"/>
      <c r="AD20" s="76"/>
      <c r="AE20" s="76"/>
      <c r="AF20" s="169"/>
      <c r="AG20" s="168" t="s">
        <v>166</v>
      </c>
      <c r="AH20" s="76"/>
      <c r="AI20" s="76"/>
      <c r="AJ20" s="76"/>
      <c r="AK20" s="76"/>
      <c r="AL20" s="76"/>
      <c r="AM20" s="76"/>
      <c r="AN20" s="76"/>
      <c r="AO20" s="76"/>
      <c r="AP20" s="77"/>
      <c r="AQ20" s="526"/>
      <c r="AR20" s="527"/>
      <c r="AS20" s="527"/>
      <c r="AT20" s="527"/>
      <c r="AU20" s="527"/>
      <c r="AV20" s="527"/>
      <c r="AW20" s="527"/>
      <c r="AX20" s="527"/>
      <c r="AY20" s="527"/>
      <c r="AZ20" s="527"/>
      <c r="BA20" s="527"/>
      <c r="BB20" s="527"/>
      <c r="BC20" s="527"/>
      <c r="BD20" s="527"/>
      <c r="BE20" s="527"/>
      <c r="BF20" s="527"/>
      <c r="BG20" s="527"/>
      <c r="BH20" s="527"/>
      <c r="BI20" s="528"/>
      <c r="BJ20" s="24"/>
      <c r="BK20" s="25"/>
    </row>
    <row r="21" spans="1:63" ht="18" customHeight="1">
      <c r="A21" s="23"/>
      <c r="B21" s="24"/>
      <c r="C21" s="53"/>
      <c r="D21" s="54"/>
      <c r="E21" s="170"/>
      <c r="F21" s="79"/>
      <c r="G21" s="79"/>
      <c r="H21" s="79"/>
      <c r="I21" s="90"/>
      <c r="J21" s="90"/>
      <c r="K21" s="171"/>
      <c r="L21" s="170"/>
      <c r="M21" s="90"/>
      <c r="N21" s="79"/>
      <c r="O21" s="90"/>
      <c r="P21" s="60"/>
      <c r="Q21" s="60"/>
      <c r="R21" s="80"/>
      <c r="S21" s="170"/>
      <c r="T21" s="60"/>
      <c r="U21" s="60"/>
      <c r="V21" s="60"/>
      <c r="W21" s="60"/>
      <c r="X21" s="60"/>
      <c r="Y21" s="80"/>
      <c r="Z21" s="94"/>
      <c r="AA21" s="60"/>
      <c r="AB21" s="79"/>
      <c r="AC21" s="79"/>
      <c r="AD21" s="79"/>
      <c r="AE21" s="79"/>
      <c r="AF21" s="171"/>
      <c r="AG21" s="170"/>
      <c r="AH21" s="79"/>
      <c r="AI21" s="79"/>
      <c r="AJ21" s="79"/>
      <c r="AK21" s="79"/>
      <c r="AL21" s="79"/>
      <c r="AM21" s="79"/>
      <c r="AN21" s="79"/>
      <c r="AO21" s="79"/>
      <c r="AP21" s="80"/>
      <c r="AQ21" s="529"/>
      <c r="AR21" s="530"/>
      <c r="AS21" s="530"/>
      <c r="AT21" s="530"/>
      <c r="AU21" s="530"/>
      <c r="AV21" s="530"/>
      <c r="AW21" s="530"/>
      <c r="AX21" s="530"/>
      <c r="AY21" s="530"/>
      <c r="AZ21" s="530"/>
      <c r="BA21" s="530"/>
      <c r="BB21" s="530"/>
      <c r="BC21" s="530"/>
      <c r="BD21" s="530"/>
      <c r="BE21" s="530"/>
      <c r="BF21" s="530"/>
      <c r="BG21" s="530"/>
      <c r="BH21" s="530"/>
      <c r="BI21" s="531"/>
      <c r="BJ21" s="24"/>
      <c r="BK21" s="25"/>
    </row>
    <row r="22" spans="1:63" ht="18" customHeight="1">
      <c r="A22" s="23"/>
      <c r="B22" s="24"/>
      <c r="C22" s="53"/>
      <c r="D22" s="54"/>
      <c r="E22" s="53"/>
      <c r="F22" s="140" t="s">
        <v>58</v>
      </c>
      <c r="G22" s="51"/>
      <c r="H22" s="51"/>
      <c r="I22" s="3"/>
      <c r="J22" s="3"/>
      <c r="K22" s="54"/>
      <c r="L22" s="53"/>
      <c r="M22" s="3"/>
      <c r="N22" s="51"/>
      <c r="O22" s="3"/>
      <c r="P22" s="39"/>
      <c r="Q22" s="39"/>
      <c r="R22" s="78"/>
      <c r="S22" s="137" t="s">
        <v>43</v>
      </c>
      <c r="T22" s="39"/>
      <c r="U22" s="39"/>
      <c r="V22" s="39"/>
      <c r="W22" s="39"/>
      <c r="X22" s="39"/>
      <c r="Y22" s="78"/>
      <c r="Z22" s="93" t="s">
        <v>36</v>
      </c>
      <c r="AA22" s="39"/>
      <c r="AB22" s="51"/>
      <c r="AC22" s="51"/>
      <c r="AD22" s="51"/>
      <c r="AE22" s="51"/>
      <c r="AF22" s="54"/>
      <c r="AG22" s="168" t="s">
        <v>50</v>
      </c>
      <c r="AH22" s="51"/>
      <c r="AI22" s="51"/>
      <c r="AJ22" s="51"/>
      <c r="AK22" s="51"/>
      <c r="AL22" s="51"/>
      <c r="AM22" s="51"/>
      <c r="AN22" s="51"/>
      <c r="AO22" s="51"/>
      <c r="AP22" s="78"/>
      <c r="AQ22" s="523" t="s">
        <v>104</v>
      </c>
      <c r="AR22" s="524"/>
      <c r="AS22" s="524"/>
      <c r="AT22" s="524"/>
      <c r="AU22" s="524"/>
      <c r="AV22" s="524"/>
      <c r="AW22" s="524"/>
      <c r="AX22" s="524"/>
      <c r="AY22" s="524"/>
      <c r="AZ22" s="524"/>
      <c r="BA22" s="524"/>
      <c r="BB22" s="524"/>
      <c r="BC22" s="524"/>
      <c r="BD22" s="524"/>
      <c r="BE22" s="524"/>
      <c r="BF22" s="524"/>
      <c r="BG22" s="524"/>
      <c r="BH22" s="524"/>
      <c r="BI22" s="525"/>
      <c r="BJ22" s="24"/>
      <c r="BK22" s="25"/>
    </row>
    <row r="23" spans="1:63" ht="18" customHeight="1">
      <c r="A23" s="23"/>
      <c r="B23" s="24"/>
      <c r="C23" s="170"/>
      <c r="D23" s="171"/>
      <c r="E23" s="137"/>
      <c r="F23" s="140" t="s">
        <v>59</v>
      </c>
      <c r="G23" s="140"/>
      <c r="H23" s="140"/>
      <c r="I23" s="172"/>
      <c r="J23" s="172"/>
      <c r="K23" s="107"/>
      <c r="L23" s="137"/>
      <c r="M23" s="172"/>
      <c r="N23" s="140"/>
      <c r="O23" s="172"/>
      <c r="P23" s="138"/>
      <c r="Q23" s="138"/>
      <c r="R23" s="139"/>
      <c r="S23" s="137" t="s">
        <v>43</v>
      </c>
      <c r="T23" s="138"/>
      <c r="U23" s="138"/>
      <c r="V23" s="138"/>
      <c r="W23" s="138"/>
      <c r="X23" s="138"/>
      <c r="Y23" s="139"/>
      <c r="Z23" s="173" t="s">
        <v>36</v>
      </c>
      <c r="AA23" s="138"/>
      <c r="AB23" s="140"/>
      <c r="AC23" s="140"/>
      <c r="AD23" s="140"/>
      <c r="AE23" s="140"/>
      <c r="AF23" s="107"/>
      <c r="AG23" s="137" t="s">
        <v>100</v>
      </c>
      <c r="AH23" s="140"/>
      <c r="AI23" s="140"/>
      <c r="AJ23" s="140"/>
      <c r="AK23" s="140"/>
      <c r="AL23" s="140"/>
      <c r="AM23" s="140"/>
      <c r="AN23" s="140"/>
      <c r="AO23" s="140"/>
      <c r="AP23" s="139"/>
      <c r="AQ23" s="523" t="s">
        <v>104</v>
      </c>
      <c r="AR23" s="524"/>
      <c r="AS23" s="524"/>
      <c r="AT23" s="524"/>
      <c r="AU23" s="524"/>
      <c r="AV23" s="524"/>
      <c r="AW23" s="524"/>
      <c r="AX23" s="524"/>
      <c r="AY23" s="524"/>
      <c r="AZ23" s="524"/>
      <c r="BA23" s="524"/>
      <c r="BB23" s="524"/>
      <c r="BC23" s="524"/>
      <c r="BD23" s="524"/>
      <c r="BE23" s="524"/>
      <c r="BF23" s="524"/>
      <c r="BG23" s="524"/>
      <c r="BH23" s="524"/>
      <c r="BI23" s="525"/>
      <c r="BJ23" s="24"/>
      <c r="BK23" s="25"/>
    </row>
    <row r="24" spans="1:63" ht="15.75">
      <c r="A24" s="58"/>
      <c r="B24" s="5"/>
      <c r="C24" s="95" t="s">
        <v>47</v>
      </c>
      <c r="D24" s="96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5"/>
      <c r="BK24" s="5"/>
    </row>
    <row r="25" spans="1:63" ht="15.75" customHeight="1">
      <c r="A25" s="58"/>
      <c r="B25" s="5"/>
      <c r="C25" s="39"/>
      <c r="D25" s="97" t="s">
        <v>52</v>
      </c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8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5"/>
      <c r="BK25" s="5"/>
    </row>
    <row r="26" spans="1:63" ht="15.75" customHeight="1">
      <c r="A26" s="58"/>
      <c r="B26" s="5"/>
      <c r="C26" s="39"/>
      <c r="D26" s="109" t="s">
        <v>144</v>
      </c>
      <c r="E26" s="3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8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5"/>
      <c r="BK26" s="5"/>
    </row>
    <row r="27" spans="1:63" ht="15.75" customHeight="1">
      <c r="A27" s="58"/>
      <c r="B27" s="5"/>
      <c r="C27" s="39"/>
      <c r="D27" s="109" t="s">
        <v>105</v>
      </c>
      <c r="E27" s="3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8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5"/>
      <c r="BK27" s="5"/>
    </row>
    <row r="28" spans="1:63" ht="15.75" customHeight="1">
      <c r="A28" s="58"/>
      <c r="B28" s="5"/>
      <c r="C28" s="39"/>
      <c r="D28" s="109" t="s">
        <v>106</v>
      </c>
      <c r="E28" s="3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8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5"/>
      <c r="BK28" s="5"/>
    </row>
    <row r="29" spans="1:63" ht="15.75" customHeight="1">
      <c r="A29" s="58"/>
      <c r="B29" s="5"/>
      <c r="C29" s="39"/>
      <c r="D29" s="109" t="s">
        <v>107</v>
      </c>
      <c r="E29" s="3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8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5"/>
      <c r="BK29" s="5"/>
    </row>
    <row r="30" spans="1:63" ht="15.75" customHeight="1">
      <c r="A30" s="58"/>
      <c r="B30" s="5"/>
      <c r="C30" s="39"/>
      <c r="D30" s="109" t="s">
        <v>108</v>
      </c>
      <c r="E30" s="3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8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5"/>
      <c r="BK30" s="5"/>
    </row>
    <row r="31" spans="1:63" ht="15.75" customHeight="1">
      <c r="A31" s="58"/>
      <c r="B31" s="5"/>
      <c r="C31" s="39"/>
      <c r="D31" s="109" t="s">
        <v>109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8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5"/>
      <c r="BK31" s="5"/>
    </row>
    <row r="32" spans="1:63" ht="15.75" customHeight="1">
      <c r="A32" s="58"/>
      <c r="B32" s="5"/>
      <c r="C32" s="39"/>
      <c r="D32" s="109" t="s">
        <v>110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8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5"/>
      <c r="BK32" s="5"/>
    </row>
    <row r="33" spans="1:63" ht="15.75" customHeight="1">
      <c r="A33" s="58"/>
      <c r="B33" s="5"/>
      <c r="C33" s="39"/>
      <c r="D33" s="109" t="s">
        <v>111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8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5"/>
      <c r="BK33" s="5"/>
    </row>
    <row r="34" spans="1:63" ht="15.75" customHeight="1">
      <c r="A34" s="58"/>
      <c r="B34" s="5"/>
      <c r="C34" s="39"/>
      <c r="D34" s="109" t="s">
        <v>112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8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5"/>
      <c r="BK34" s="5"/>
    </row>
    <row r="35" spans="1:63" ht="15.75" customHeight="1">
      <c r="A35" s="58"/>
      <c r="B35" s="5"/>
      <c r="C35" s="39"/>
      <c r="D35" s="98" t="s">
        <v>164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89"/>
      <c r="AV35" s="39"/>
      <c r="AW35" s="39"/>
      <c r="AX35" s="39"/>
      <c r="BC35" s="39"/>
      <c r="BD35" s="39"/>
      <c r="BE35" s="39"/>
      <c r="BF35" s="39"/>
      <c r="BG35" s="39"/>
      <c r="BH35" s="39"/>
      <c r="BI35" s="39"/>
      <c r="BJ35" s="5"/>
      <c r="BK35" s="5"/>
    </row>
    <row r="36" spans="1:63" ht="15.75" customHeight="1">
      <c r="A36" s="58"/>
      <c r="B36" s="5"/>
      <c r="C36" s="39"/>
      <c r="D36" s="98"/>
      <c r="E36" s="3" t="s">
        <v>113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89"/>
      <c r="AV36" s="39"/>
      <c r="AW36" s="39"/>
      <c r="AX36" s="39"/>
      <c r="BC36" s="39"/>
      <c r="BD36" s="39"/>
      <c r="BE36" s="39"/>
      <c r="BF36" s="39"/>
      <c r="BG36" s="39"/>
      <c r="BH36" s="39"/>
      <c r="BI36" s="39"/>
      <c r="BJ36" s="5"/>
      <c r="BK36" s="5"/>
    </row>
    <row r="37" spans="1:63" ht="15.75" customHeight="1">
      <c r="A37" s="58"/>
      <c r="B37" s="5"/>
      <c r="C37" s="39"/>
      <c r="D37" s="98" t="s">
        <v>114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8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5"/>
      <c r="BK37" s="5"/>
    </row>
    <row r="38" spans="1:63" ht="15.75" customHeight="1">
      <c r="A38" s="58"/>
      <c r="B38" s="5"/>
      <c r="C38" s="39"/>
      <c r="D38" s="98" t="s">
        <v>184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8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5"/>
      <c r="BK38" s="5"/>
    </row>
    <row r="39" spans="1:63" ht="15.75" customHeight="1">
      <c r="A39" s="58"/>
      <c r="B39" s="5"/>
      <c r="C39" s="39"/>
      <c r="D39" s="98" t="s">
        <v>185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8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5"/>
      <c r="BK39" s="5"/>
    </row>
    <row r="40" spans="1:63" ht="15.75" customHeight="1">
      <c r="A40" s="58"/>
      <c r="B40" s="5"/>
      <c r="C40" s="39"/>
      <c r="D40" s="98" t="s">
        <v>183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8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5"/>
      <c r="BK40" s="5"/>
    </row>
    <row r="41" spans="1:63" ht="15.75" customHeight="1">
      <c r="A41" s="58"/>
      <c r="B41" s="5"/>
      <c r="C41" s="39"/>
      <c r="D41" s="98"/>
      <c r="E41" s="3" t="s">
        <v>115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8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5"/>
      <c r="BK41" s="5"/>
    </row>
    <row r="42" spans="1:63" ht="15.75" customHeight="1">
      <c r="A42" s="58"/>
      <c r="B42" s="5"/>
      <c r="C42" s="39"/>
      <c r="D42" s="98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8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5"/>
      <c r="BK42" s="5"/>
    </row>
    <row r="43" spans="1:63" ht="15.75" customHeight="1">
      <c r="A43" s="58"/>
      <c r="B43" s="5"/>
      <c r="C43" s="39"/>
      <c r="D43" s="9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1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5"/>
      <c r="BK43" s="5"/>
    </row>
    <row r="44" spans="1:63" ht="13.5">
      <c r="A44" s="58"/>
      <c r="B44" s="5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5"/>
      <c r="BK44" s="5"/>
    </row>
    <row r="45" spans="1:63" ht="15" customHeight="1">
      <c r="A45" s="23"/>
      <c r="B45" s="24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24"/>
      <c r="BK45" s="25"/>
    </row>
    <row r="46" spans="1:63" ht="15" customHeight="1">
      <c r="A46" s="23"/>
      <c r="B46" s="57" t="s">
        <v>14</v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24"/>
      <c r="BK46" s="25"/>
    </row>
    <row r="47" spans="1:63" ht="15" customHeight="1">
      <c r="A47" s="23"/>
      <c r="B47" s="57"/>
      <c r="C47" s="51" t="s">
        <v>85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24"/>
      <c r="BK47" s="25"/>
    </row>
    <row r="48" spans="1:63" ht="15" customHeight="1">
      <c r="A48" s="23"/>
      <c r="B48" s="57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24"/>
      <c r="BK48" s="25"/>
    </row>
    <row r="49" spans="1:63" ht="15" customHeight="1">
      <c r="A49" s="23"/>
      <c r="B49" s="57"/>
      <c r="C49" s="100" t="s">
        <v>48</v>
      </c>
      <c r="D49" s="101"/>
      <c r="E49" s="100" t="s">
        <v>33</v>
      </c>
      <c r="F49" s="102"/>
      <c r="G49" s="102"/>
      <c r="H49" s="102"/>
      <c r="I49" s="103"/>
      <c r="J49" s="103"/>
      <c r="K49" s="102"/>
      <c r="L49" s="111"/>
      <c r="M49" s="111"/>
      <c r="N49" s="100" t="s">
        <v>49</v>
      </c>
      <c r="O49" s="102"/>
      <c r="P49" s="103"/>
      <c r="Q49" s="103"/>
      <c r="R49" s="101"/>
      <c r="S49" s="100" t="s">
        <v>50</v>
      </c>
      <c r="T49" s="102"/>
      <c r="U49" s="102"/>
      <c r="V49" s="102"/>
      <c r="W49" s="103"/>
      <c r="X49" s="103"/>
      <c r="Y49" s="102"/>
      <c r="Z49" s="102"/>
      <c r="AA49" s="102"/>
      <c r="AB49" s="104"/>
      <c r="AC49" s="100" t="s">
        <v>51</v>
      </c>
      <c r="AD49" s="102"/>
      <c r="AE49" s="102"/>
      <c r="AF49" s="102"/>
      <c r="AG49" s="102"/>
      <c r="AH49" s="102"/>
      <c r="AI49" s="102"/>
      <c r="AJ49" s="102"/>
      <c r="AK49" s="102"/>
      <c r="AL49" s="102"/>
      <c r="AM49" s="105"/>
      <c r="AN49" s="105"/>
      <c r="AO49" s="105"/>
      <c r="AP49" s="105"/>
      <c r="AQ49" s="105"/>
      <c r="AR49" s="105"/>
      <c r="AS49" s="105"/>
      <c r="AT49" s="105"/>
      <c r="AU49" s="106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24"/>
      <c r="BK49" s="25"/>
    </row>
    <row r="50" spans="1:63" s="2" customFormat="1" ht="15" customHeight="1">
      <c r="A50" s="225"/>
      <c r="B50" s="226"/>
      <c r="C50" s="237">
        <v>1</v>
      </c>
      <c r="D50" s="228"/>
      <c r="E50" s="239" t="s">
        <v>156</v>
      </c>
      <c r="F50" s="229"/>
      <c r="G50" s="229"/>
      <c r="H50" s="229"/>
      <c r="I50" s="230"/>
      <c r="J50" s="230"/>
      <c r="K50" s="229"/>
      <c r="L50" s="231"/>
      <c r="M50" s="231"/>
      <c r="N50" s="232" t="s">
        <v>34</v>
      </c>
      <c r="O50" s="229"/>
      <c r="P50" s="230"/>
      <c r="Q50" s="230"/>
      <c r="R50" s="228"/>
      <c r="S50" s="227"/>
      <c r="T50" s="229"/>
      <c r="U50" s="229"/>
      <c r="V50" s="229"/>
      <c r="W50" s="230"/>
      <c r="X50" s="230"/>
      <c r="Y50" s="229"/>
      <c r="Z50" s="229"/>
      <c r="AA50" s="229"/>
      <c r="AB50" s="233"/>
      <c r="AC50" s="227"/>
      <c r="AD50" s="229"/>
      <c r="AE50" s="229"/>
      <c r="AF50" s="229"/>
      <c r="AG50" s="229"/>
      <c r="AH50" s="229"/>
      <c r="AI50" s="229"/>
      <c r="AJ50" s="229"/>
      <c r="AK50" s="229"/>
      <c r="AL50" s="229"/>
      <c r="AM50" s="234"/>
      <c r="AN50" s="234"/>
      <c r="AO50" s="234"/>
      <c r="AP50" s="234"/>
      <c r="AQ50" s="234"/>
      <c r="AR50" s="234"/>
      <c r="AS50" s="234"/>
      <c r="AT50" s="234"/>
      <c r="AU50" s="2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213"/>
      <c r="BK50" s="236"/>
    </row>
    <row r="51" spans="1:63" ht="15" customHeight="1">
      <c r="A51" s="23"/>
      <c r="B51" s="57"/>
      <c r="C51" s="238">
        <v>2</v>
      </c>
      <c r="D51" s="107"/>
      <c r="E51" s="174" t="s">
        <v>116</v>
      </c>
      <c r="F51" s="174"/>
      <c r="G51" s="172"/>
      <c r="H51" s="140"/>
      <c r="I51" s="172"/>
      <c r="J51" s="172"/>
      <c r="K51" s="140"/>
      <c r="L51" s="172"/>
      <c r="M51" s="172"/>
      <c r="N51" s="137" t="s">
        <v>34</v>
      </c>
      <c r="O51" s="138"/>
      <c r="P51" s="138"/>
      <c r="Q51" s="138"/>
      <c r="R51" s="123"/>
      <c r="S51" s="120"/>
      <c r="T51" s="122"/>
      <c r="U51" s="122"/>
      <c r="V51" s="122"/>
      <c r="W51" s="122"/>
      <c r="X51" s="122"/>
      <c r="Y51" s="122"/>
      <c r="Z51" s="122"/>
      <c r="AA51" s="122"/>
      <c r="AB51" s="123"/>
      <c r="AC51" s="120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24"/>
      <c r="BK51" s="25"/>
    </row>
    <row r="52" spans="1:63" ht="15" customHeight="1">
      <c r="A52" s="23"/>
      <c r="B52" s="57"/>
      <c r="C52" s="238">
        <v>3</v>
      </c>
      <c r="D52" s="107"/>
      <c r="E52" s="174" t="s">
        <v>140</v>
      </c>
      <c r="F52" s="174"/>
      <c r="G52" s="172"/>
      <c r="H52" s="140"/>
      <c r="I52" s="140"/>
      <c r="J52" s="140"/>
      <c r="K52" s="140"/>
      <c r="L52" s="172"/>
      <c r="M52" s="172"/>
      <c r="N52" s="137" t="s">
        <v>165</v>
      </c>
      <c r="O52" s="140"/>
      <c r="P52" s="138"/>
      <c r="Q52" s="138"/>
      <c r="R52" s="123"/>
      <c r="S52" s="120"/>
      <c r="T52" s="122"/>
      <c r="U52" s="122"/>
      <c r="V52" s="122"/>
      <c r="W52" s="122"/>
      <c r="X52" s="122"/>
      <c r="Y52" s="122"/>
      <c r="Z52" s="122"/>
      <c r="AA52" s="122"/>
      <c r="AB52" s="123"/>
      <c r="AC52" s="120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24"/>
      <c r="BK52" s="25"/>
    </row>
    <row r="53" spans="1:63" ht="15" customHeight="1">
      <c r="A53" s="23"/>
      <c r="B53" s="57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24"/>
      <c r="BK53" s="25"/>
    </row>
    <row r="54" spans="1:63" ht="15" customHeight="1">
      <c r="A54" s="23"/>
      <c r="B54" s="57"/>
      <c r="C54" s="95" t="s">
        <v>47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24"/>
      <c r="BK54" s="25"/>
    </row>
    <row r="55" spans="1:63" ht="15" customHeight="1">
      <c r="A55" s="23"/>
      <c r="B55" s="57"/>
      <c r="C55" s="39"/>
      <c r="D55" s="108" t="s">
        <v>45</v>
      </c>
      <c r="E55" s="59"/>
      <c r="F55" s="59"/>
      <c r="G55" s="59"/>
      <c r="H55" s="125"/>
      <c r="I55" s="125"/>
      <c r="J55" s="125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76"/>
      <c r="AP55" s="59"/>
      <c r="AQ55" s="59"/>
      <c r="AR55" s="59"/>
      <c r="AS55" s="59"/>
      <c r="AT55" s="59"/>
      <c r="AU55" s="77"/>
      <c r="AV55" s="39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24"/>
      <c r="BK55" s="25"/>
    </row>
    <row r="56" spans="1:63" ht="15" customHeight="1">
      <c r="A56" s="23"/>
      <c r="B56" s="57"/>
      <c r="C56" s="39"/>
      <c r="D56" s="109" t="s">
        <v>157</v>
      </c>
      <c r="E56" s="39"/>
      <c r="F56" s="39"/>
      <c r="G56" s="39"/>
      <c r="H56" s="126"/>
      <c r="I56" s="126"/>
      <c r="J56" s="126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51"/>
      <c r="AP56" s="39"/>
      <c r="AQ56" s="39"/>
      <c r="AR56" s="39"/>
      <c r="AS56" s="39"/>
      <c r="AT56" s="39"/>
      <c r="AU56" s="78"/>
      <c r="AV56" s="39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24"/>
      <c r="BK56" s="25"/>
    </row>
    <row r="57" spans="1:63" ht="15" customHeight="1">
      <c r="A57" s="23"/>
      <c r="B57" s="57"/>
      <c r="C57" s="39"/>
      <c r="D57" s="109" t="s">
        <v>117</v>
      </c>
      <c r="E57" s="39"/>
      <c r="F57" s="39"/>
      <c r="G57" s="39"/>
      <c r="H57" s="126"/>
      <c r="I57" s="126"/>
      <c r="J57" s="126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51"/>
      <c r="AP57" s="39"/>
      <c r="AQ57" s="39"/>
      <c r="AR57" s="39"/>
      <c r="AS57" s="39"/>
      <c r="AT57" s="39"/>
      <c r="AU57" s="78"/>
      <c r="AV57" s="39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24"/>
      <c r="BK57" s="25"/>
    </row>
    <row r="58" spans="1:63" ht="19.5" customHeight="1">
      <c r="C58" s="39"/>
      <c r="D58" s="109" t="s">
        <v>178</v>
      </c>
      <c r="E58" s="39"/>
      <c r="F58" s="39"/>
      <c r="G58" s="39"/>
      <c r="H58" s="126"/>
      <c r="I58" s="126"/>
      <c r="J58" s="126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51"/>
      <c r="AP58" s="39"/>
      <c r="AQ58" s="39"/>
      <c r="AR58" s="39"/>
      <c r="AS58" s="39"/>
      <c r="AT58" s="39"/>
      <c r="AU58" s="78"/>
      <c r="AV58" s="39"/>
    </row>
    <row r="59" spans="1:63" ht="19.5" customHeight="1">
      <c r="C59" s="39"/>
      <c r="D59" s="109"/>
      <c r="E59" s="39" t="s">
        <v>182</v>
      </c>
      <c r="F59" s="39"/>
      <c r="G59" s="39"/>
      <c r="H59" s="126"/>
      <c r="I59" s="126"/>
      <c r="J59" s="126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51"/>
      <c r="AP59" s="39"/>
      <c r="AQ59" s="39"/>
      <c r="AR59" s="39"/>
      <c r="AS59" s="39"/>
      <c r="AT59" s="39"/>
      <c r="AU59" s="78"/>
      <c r="AV59" s="39"/>
    </row>
    <row r="60" spans="1:63" ht="19.5" customHeight="1">
      <c r="C60" s="39"/>
      <c r="D60" s="109"/>
      <c r="E60" s="39" t="s">
        <v>181</v>
      </c>
      <c r="F60" s="39"/>
      <c r="G60" s="39"/>
      <c r="H60" s="126"/>
      <c r="I60" s="126"/>
      <c r="J60" s="126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51"/>
      <c r="AP60" s="39"/>
      <c r="AQ60" s="39"/>
      <c r="AR60" s="39"/>
      <c r="AS60" s="39"/>
      <c r="AT60" s="39"/>
      <c r="AU60" s="78"/>
      <c r="AV60" s="39"/>
    </row>
    <row r="61" spans="1:63" ht="19.5" customHeight="1">
      <c r="C61" s="39"/>
      <c r="D61" s="109"/>
      <c r="E61" s="39" t="s">
        <v>115</v>
      </c>
      <c r="F61" s="39"/>
      <c r="G61" s="39"/>
      <c r="H61" s="126"/>
      <c r="I61" s="126"/>
      <c r="J61" s="126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51"/>
      <c r="AP61" s="39"/>
      <c r="AQ61" s="39"/>
      <c r="AR61" s="39"/>
      <c r="AS61" s="39"/>
      <c r="AT61" s="39"/>
      <c r="AU61" s="78"/>
      <c r="AV61" s="39"/>
    </row>
    <row r="62" spans="1:63" ht="15" customHeight="1">
      <c r="A62" s="23"/>
      <c r="B62" s="24"/>
      <c r="C62" s="39"/>
      <c r="D62" s="109" t="s">
        <v>46</v>
      </c>
      <c r="E62" s="39"/>
      <c r="F62" s="39"/>
      <c r="G62" s="39"/>
      <c r="H62" s="126"/>
      <c r="I62" s="126"/>
      <c r="J62" s="126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51"/>
      <c r="AP62" s="39"/>
      <c r="AQ62" s="39"/>
      <c r="AR62" s="39"/>
      <c r="AS62" s="39"/>
      <c r="AT62" s="39"/>
      <c r="AU62" s="78"/>
      <c r="AV62" s="39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24"/>
      <c r="BK62" s="25"/>
    </row>
    <row r="63" spans="1:63" s="7" customFormat="1" ht="15.75">
      <c r="A63" s="252"/>
      <c r="B63" s="252"/>
      <c r="C63" s="39"/>
      <c r="D63" s="110" t="s">
        <v>44</v>
      </c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79"/>
      <c r="AP63" s="60"/>
      <c r="AQ63" s="60"/>
      <c r="AR63" s="60"/>
      <c r="AS63" s="60"/>
      <c r="AT63" s="60"/>
      <c r="AU63" s="80"/>
      <c r="AV63" s="39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</row>
    <row r="64" spans="1:63" s="7" customFormat="1" ht="19.5" customHeight="1"/>
    <row r="65" spans="3:48" ht="19.5" customHeight="1">
      <c r="C65" s="51" t="s">
        <v>84</v>
      </c>
    </row>
    <row r="67" spans="3:48" ht="19.5" customHeight="1">
      <c r="C67" s="95" t="s">
        <v>47</v>
      </c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</row>
    <row r="68" spans="3:48" ht="19.5" customHeight="1">
      <c r="C68" s="39"/>
      <c r="D68" s="108" t="s">
        <v>45</v>
      </c>
      <c r="E68" s="59"/>
      <c r="F68" s="59"/>
      <c r="G68" s="59"/>
      <c r="H68" s="125"/>
      <c r="I68" s="125"/>
      <c r="J68" s="125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76"/>
      <c r="AP68" s="59"/>
      <c r="AQ68" s="59"/>
      <c r="AR68" s="59"/>
      <c r="AS68" s="59"/>
      <c r="AT68" s="59"/>
      <c r="AU68" s="77"/>
      <c r="AV68" s="39"/>
    </row>
    <row r="69" spans="3:48" ht="19.5" customHeight="1">
      <c r="C69" s="39"/>
      <c r="D69" s="109" t="s">
        <v>158</v>
      </c>
      <c r="E69" s="39"/>
      <c r="F69" s="39"/>
      <c r="G69" s="39"/>
      <c r="H69" s="126"/>
      <c r="I69" s="126"/>
      <c r="J69" s="126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51"/>
      <c r="AP69" s="39"/>
      <c r="AQ69" s="39"/>
      <c r="AR69" s="39"/>
      <c r="AS69" s="39"/>
      <c r="AT69" s="39"/>
      <c r="AU69" s="78"/>
      <c r="AV69" s="39"/>
    </row>
    <row r="70" spans="3:48" ht="19.5" customHeight="1">
      <c r="C70" s="39"/>
      <c r="D70" s="109" t="s">
        <v>178</v>
      </c>
      <c r="E70" s="39"/>
      <c r="F70" s="39"/>
      <c r="G70" s="39"/>
      <c r="H70" s="126"/>
      <c r="I70" s="126"/>
      <c r="J70" s="126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51"/>
      <c r="AP70" s="39"/>
      <c r="AQ70" s="39"/>
      <c r="AR70" s="39"/>
      <c r="AS70" s="39"/>
      <c r="AT70" s="39"/>
      <c r="AU70" s="78"/>
      <c r="AV70" s="39"/>
    </row>
    <row r="71" spans="3:48" ht="19.5" customHeight="1">
      <c r="C71" s="39"/>
      <c r="D71" s="109"/>
      <c r="E71" s="39" t="s">
        <v>179</v>
      </c>
      <c r="F71" s="39"/>
      <c r="G71" s="39"/>
      <c r="H71" s="126"/>
      <c r="I71" s="126"/>
      <c r="J71" s="126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51"/>
      <c r="AP71" s="39"/>
      <c r="AQ71" s="39"/>
      <c r="AR71" s="39"/>
      <c r="AS71" s="39"/>
      <c r="AT71" s="39"/>
      <c r="AU71" s="78"/>
      <c r="AV71" s="39"/>
    </row>
    <row r="72" spans="3:48" ht="19.5" customHeight="1">
      <c r="C72" s="39"/>
      <c r="D72" s="109"/>
      <c r="E72" s="39" t="s">
        <v>180</v>
      </c>
      <c r="F72" s="39"/>
      <c r="G72" s="39"/>
      <c r="H72" s="126"/>
      <c r="I72" s="126"/>
      <c r="J72" s="126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51"/>
      <c r="AP72" s="39"/>
      <c r="AQ72" s="39"/>
      <c r="AR72" s="39"/>
      <c r="AS72" s="39"/>
      <c r="AT72" s="39"/>
      <c r="AU72" s="78"/>
      <c r="AV72" s="39"/>
    </row>
    <row r="73" spans="3:48" ht="19.5" customHeight="1">
      <c r="C73" s="39"/>
      <c r="D73" s="109"/>
      <c r="E73" s="39" t="s">
        <v>115</v>
      </c>
      <c r="F73" s="39"/>
      <c r="G73" s="39"/>
      <c r="H73" s="126"/>
      <c r="I73" s="126"/>
      <c r="J73" s="126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51"/>
      <c r="AP73" s="39"/>
      <c r="AQ73" s="39"/>
      <c r="AR73" s="39"/>
      <c r="AS73" s="39"/>
      <c r="AT73" s="39"/>
      <c r="AU73" s="78"/>
      <c r="AV73" s="39"/>
    </row>
    <row r="74" spans="3:48" ht="19.5" customHeight="1">
      <c r="C74" s="39"/>
      <c r="D74" s="109" t="s">
        <v>46</v>
      </c>
      <c r="E74" s="39"/>
      <c r="F74" s="39"/>
      <c r="G74" s="39"/>
      <c r="H74" s="126"/>
      <c r="I74" s="126"/>
      <c r="J74" s="126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51"/>
      <c r="AP74" s="39"/>
      <c r="AQ74" s="39"/>
      <c r="AR74" s="39"/>
      <c r="AS74" s="39"/>
      <c r="AT74" s="39"/>
      <c r="AU74" s="78"/>
      <c r="AV74" s="39"/>
    </row>
    <row r="75" spans="3:48" ht="19.5" customHeight="1">
      <c r="C75" s="39"/>
      <c r="D75" s="110" t="s">
        <v>44</v>
      </c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79"/>
      <c r="AP75" s="60"/>
      <c r="AQ75" s="60"/>
      <c r="AR75" s="60"/>
      <c r="AS75" s="60"/>
      <c r="AT75" s="60"/>
      <c r="AU75" s="80"/>
      <c r="AV75" s="39"/>
    </row>
  </sheetData>
  <mergeCells count="25"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  <mergeCell ref="W1:AO3"/>
    <mergeCell ref="BH1:BK1"/>
    <mergeCell ref="AQ18:BI18"/>
    <mergeCell ref="AQ19:BI19"/>
    <mergeCell ref="AQ22:BI22"/>
    <mergeCell ref="AQ23:BI23"/>
    <mergeCell ref="AT1:AX1"/>
    <mergeCell ref="AP1:AS1"/>
    <mergeCell ref="AQ20:BI21"/>
    <mergeCell ref="BC1:BG1"/>
    <mergeCell ref="AY1:BB1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K46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97" t="s">
        <v>25</v>
      </c>
      <c r="B1" s="298"/>
      <c r="C1" s="298"/>
      <c r="D1" s="298"/>
      <c r="E1" s="298"/>
      <c r="F1" s="298"/>
      <c r="G1" s="298"/>
      <c r="H1" s="298"/>
      <c r="I1" s="298"/>
      <c r="J1" s="299"/>
      <c r="K1" s="297" t="s">
        <v>26</v>
      </c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9"/>
      <c r="W1" s="300" t="str">
        <f>IF(Bìa!W1="","",Bìa!W1)</f>
        <v>TKCB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297" t="s">
        <v>18</v>
      </c>
      <c r="AQ1" s="298"/>
      <c r="AR1" s="298"/>
      <c r="AS1" s="299"/>
      <c r="AT1" s="297" t="s">
        <v>19</v>
      </c>
      <c r="AU1" s="298"/>
      <c r="AV1" s="298"/>
      <c r="AW1" s="298"/>
      <c r="AX1" s="299"/>
      <c r="AY1" s="297" t="s">
        <v>20</v>
      </c>
      <c r="AZ1" s="298"/>
      <c r="BA1" s="298"/>
      <c r="BB1" s="299"/>
      <c r="BC1" s="297" t="s">
        <v>21</v>
      </c>
      <c r="BD1" s="298"/>
      <c r="BE1" s="298"/>
      <c r="BF1" s="298"/>
      <c r="BG1" s="299"/>
      <c r="BH1" s="297" t="s">
        <v>2</v>
      </c>
      <c r="BI1" s="298"/>
      <c r="BJ1" s="298"/>
      <c r="BK1" s="299"/>
    </row>
    <row r="2" spans="1:63" ht="15" customHeight="1">
      <c r="A2" s="313" t="str">
        <f>IF(Bìa!A2="","",Bìa!A2)</f>
        <v>Manager User</v>
      </c>
      <c r="B2" s="292"/>
      <c r="C2" s="292"/>
      <c r="D2" s="292"/>
      <c r="E2" s="292"/>
      <c r="F2" s="292"/>
      <c r="G2" s="292"/>
      <c r="H2" s="292"/>
      <c r="I2" s="292"/>
      <c r="J2" s="293"/>
      <c r="K2" s="313" t="str">
        <f>IF(Bìa!K2="","",Bìa!K2)</f>
        <v>Thiết kế API</v>
      </c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3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313" t="str">
        <f>IF(Bìa!AP2="","",Bìa!AP2)</f>
        <v>ThanhPD</v>
      </c>
      <c r="AQ2" s="292"/>
      <c r="AR2" s="292"/>
      <c r="AS2" s="293"/>
      <c r="AT2" s="314">
        <f>IF(Bìa!AT2="","",Bìa!AT2)</f>
        <v>44930</v>
      </c>
      <c r="AU2" s="315"/>
      <c r="AV2" s="315"/>
      <c r="AW2" s="315"/>
      <c r="AX2" s="316"/>
      <c r="AY2" s="313" t="str">
        <f>IF(Bìa!AY2="","",Bìa!AY2)</f>
        <v>ThanhPD</v>
      </c>
      <c r="AZ2" s="292"/>
      <c r="BA2" s="292"/>
      <c r="BB2" s="293"/>
      <c r="BC2" s="314">
        <f>IF(Bìa!BC2="","",Bìa!BC2)</f>
        <v>44930</v>
      </c>
      <c r="BD2" s="315"/>
      <c r="BE2" s="315"/>
      <c r="BF2" s="315"/>
      <c r="BG2" s="316"/>
      <c r="BH2" s="313">
        <f>IF(Bìa!BH2="","",Bìa!BH2)</f>
        <v>0.1</v>
      </c>
      <c r="BI2" s="292"/>
      <c r="BJ2" s="292"/>
      <c r="BK2" s="293"/>
    </row>
    <row r="3" spans="1:63" ht="15" customHeight="1">
      <c r="A3" s="294"/>
      <c r="B3" s="295"/>
      <c r="C3" s="295"/>
      <c r="D3" s="295"/>
      <c r="E3" s="295"/>
      <c r="F3" s="295"/>
      <c r="G3" s="295"/>
      <c r="H3" s="295"/>
      <c r="I3" s="295"/>
      <c r="J3" s="296"/>
      <c r="K3" s="294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6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294"/>
      <c r="AQ3" s="295"/>
      <c r="AR3" s="295"/>
      <c r="AS3" s="296"/>
      <c r="AT3" s="317"/>
      <c r="AU3" s="318"/>
      <c r="AV3" s="318"/>
      <c r="AW3" s="318"/>
      <c r="AX3" s="319"/>
      <c r="AY3" s="294"/>
      <c r="AZ3" s="295"/>
      <c r="BA3" s="295"/>
      <c r="BB3" s="296"/>
      <c r="BC3" s="317"/>
      <c r="BD3" s="318"/>
      <c r="BE3" s="318"/>
      <c r="BF3" s="318"/>
      <c r="BG3" s="319"/>
      <c r="BH3" s="294"/>
      <c r="BI3" s="295"/>
      <c r="BJ3" s="295"/>
      <c r="BK3" s="296"/>
    </row>
    <row r="4" spans="1:63" ht="24.95" customHeight="1">
      <c r="A4" s="297" t="s">
        <v>17</v>
      </c>
      <c r="B4" s="298"/>
      <c r="C4" s="298"/>
      <c r="D4" s="298"/>
      <c r="E4" s="298"/>
      <c r="F4" s="298"/>
      <c r="G4" s="299"/>
      <c r="H4" s="309" t="str">
        <f>IF(Bìa!H4="","",Bìa!H4)</f>
        <v/>
      </c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297" t="s">
        <v>22</v>
      </c>
      <c r="V4" s="298"/>
      <c r="W4" s="298"/>
      <c r="X4" s="298"/>
      <c r="Y4" s="299"/>
      <c r="Z4" s="309" t="str">
        <f>IF(Bìa!Z4="","",Bìa!Z4)</f>
        <v>Update Employee</v>
      </c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1"/>
      <c r="AP4" s="309" t="s">
        <v>16</v>
      </c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1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s="2" customFormat="1" ht="15" customHeight="1">
      <c r="A6" s="72"/>
      <c r="B6" s="34"/>
      <c r="C6" s="34"/>
      <c r="D6" s="34"/>
      <c r="E6" s="65"/>
      <c r="F6" s="65"/>
      <c r="G6" s="65"/>
      <c r="H6" s="65"/>
      <c r="I6" s="65"/>
      <c r="J6" s="6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73"/>
      <c r="W6" s="73"/>
      <c r="X6" s="73"/>
      <c r="Y6" s="73"/>
      <c r="Z6" s="66"/>
      <c r="AA6" s="66"/>
      <c r="AB6" s="66"/>
      <c r="AC6" s="66"/>
      <c r="AD6" s="73"/>
      <c r="AE6" s="73"/>
      <c r="AF6" s="73"/>
      <c r="AG6" s="73"/>
      <c r="AH6" s="67"/>
      <c r="AI6" s="67"/>
      <c r="AJ6" s="67"/>
      <c r="AK6" s="67"/>
      <c r="AL6" s="74"/>
      <c r="AM6" s="74"/>
      <c r="AN6" s="68"/>
      <c r="AO6" s="68"/>
      <c r="AP6" s="68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70"/>
    </row>
    <row r="7" spans="1:63" ht="15" customHeight="1">
      <c r="A7" s="71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70"/>
    </row>
    <row r="8" spans="1:63" ht="15" customHeight="1">
      <c r="A8" s="71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70"/>
    </row>
    <row r="9" spans="1:63" ht="15" customHeight="1">
      <c r="A9" s="71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70"/>
    </row>
    <row r="10" spans="1:63" ht="15" customHeight="1">
      <c r="A10" s="71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70"/>
    </row>
    <row r="11" spans="1:63" ht="15" customHeight="1">
      <c r="A11" s="71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70"/>
    </row>
    <row r="12" spans="1:63" ht="15" customHeight="1">
      <c r="A12" s="71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70"/>
    </row>
    <row r="13" spans="1:63" ht="15" customHeight="1">
      <c r="A13" s="71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70"/>
    </row>
    <row r="14" spans="1:63" ht="15" customHeight="1">
      <c r="A14" s="71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70"/>
    </row>
    <row r="15" spans="1:63" ht="15" customHeight="1">
      <c r="A15" s="71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70"/>
    </row>
    <row r="16" spans="1:63" ht="15" customHeight="1">
      <c r="A16" s="71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70"/>
    </row>
    <row r="17" spans="1:63" ht="15" customHeight="1">
      <c r="A17" s="71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70"/>
    </row>
    <row r="18" spans="1:63" ht="15" customHeight="1">
      <c r="A18" s="71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70"/>
    </row>
    <row r="19" spans="1:63" ht="15" customHeight="1">
      <c r="A19" s="71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70"/>
    </row>
    <row r="20" spans="1:63" ht="15" customHeight="1">
      <c r="A20" s="71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70"/>
    </row>
    <row r="21" spans="1:63" ht="15" customHeight="1">
      <c r="A21" s="71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70"/>
    </row>
    <row r="22" spans="1:63" ht="15" customHeight="1">
      <c r="A22" s="71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70"/>
    </row>
    <row r="23" spans="1:63" ht="15" customHeight="1">
      <c r="A23" s="71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70"/>
    </row>
    <row r="24" spans="1:63" ht="15" customHeight="1">
      <c r="A24" s="71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70"/>
    </row>
    <row r="25" spans="1:63" ht="15" customHeight="1">
      <c r="A25" s="71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70"/>
    </row>
    <row r="26" spans="1:63" ht="15" customHeight="1">
      <c r="A26" s="71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70"/>
    </row>
    <row r="27" spans="1:63" ht="15" customHeight="1">
      <c r="A27" s="71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70"/>
    </row>
    <row r="28" spans="1:63" ht="15" customHeight="1">
      <c r="A28" s="71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12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70"/>
    </row>
    <row r="29" spans="1:63" ht="15" customHeight="1">
      <c r="A29" s="71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70"/>
    </row>
    <row r="30" spans="1:63" ht="15" customHeight="1">
      <c r="A30" s="71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70"/>
    </row>
    <row r="31" spans="1:63" ht="15" customHeight="1">
      <c r="A31" s="71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70"/>
    </row>
    <row r="32" spans="1:63" ht="15" customHeight="1">
      <c r="A32" s="71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70"/>
    </row>
    <row r="33" spans="1:63" ht="15" customHeight="1">
      <c r="A33" s="71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70"/>
    </row>
    <row r="34" spans="1:63" ht="15" customHeight="1">
      <c r="A34" s="71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70"/>
    </row>
    <row r="35" spans="1:63" ht="15" customHeight="1">
      <c r="A35" s="71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70"/>
    </row>
    <row r="36" spans="1:63" ht="15" customHeight="1">
      <c r="A36" s="71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70"/>
    </row>
    <row r="37" spans="1:63" ht="15" customHeight="1">
      <c r="A37" s="71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70"/>
    </row>
    <row r="38" spans="1:63" ht="15" customHeight="1">
      <c r="A38" s="71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70"/>
    </row>
    <row r="39" spans="1:63" ht="15" customHeight="1">
      <c r="A39" s="71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70"/>
    </row>
    <row r="40" spans="1:63" ht="15" customHeight="1">
      <c r="A40" s="71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70"/>
    </row>
    <row r="41" spans="1:63" ht="15" customHeight="1">
      <c r="A41" s="71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70"/>
    </row>
    <row r="42" spans="1:63" ht="15" customHeight="1">
      <c r="A42" s="71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70"/>
    </row>
    <row r="43" spans="1:63" ht="15" customHeight="1">
      <c r="A43" s="71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70"/>
    </row>
    <row r="44" spans="1:63" ht="15" customHeight="1">
      <c r="A44" s="71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70"/>
    </row>
    <row r="45" spans="1:63" ht="15" customHeight="1">
      <c r="A45" s="71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70"/>
    </row>
    <row r="46" spans="1:63" ht="18" customHeight="1">
      <c r="A46" s="136"/>
      <c r="BK46" s="128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L133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97" t="s">
        <v>88</v>
      </c>
      <c r="B1" s="298"/>
      <c r="C1" s="298"/>
      <c r="D1" s="298"/>
      <c r="E1" s="298"/>
      <c r="F1" s="298"/>
      <c r="G1" s="298"/>
      <c r="H1" s="298"/>
      <c r="I1" s="298"/>
      <c r="J1" s="299"/>
      <c r="K1" s="297" t="s">
        <v>89</v>
      </c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9"/>
      <c r="W1" s="547" t="str">
        <f>IF(Bìa!W1="","",Bìa!W1)</f>
        <v>TKCB</v>
      </c>
      <c r="X1" s="548"/>
      <c r="Y1" s="548"/>
      <c r="Z1" s="548"/>
      <c r="AA1" s="548"/>
      <c r="AB1" s="548"/>
      <c r="AC1" s="548"/>
      <c r="AD1" s="548"/>
      <c r="AE1" s="548"/>
      <c r="AF1" s="548"/>
      <c r="AG1" s="548"/>
      <c r="AH1" s="548"/>
      <c r="AI1" s="548"/>
      <c r="AJ1" s="548"/>
      <c r="AK1" s="548"/>
      <c r="AL1" s="548"/>
      <c r="AM1" s="548"/>
      <c r="AN1" s="548"/>
      <c r="AO1" s="549"/>
      <c r="AP1" s="297" t="s">
        <v>90</v>
      </c>
      <c r="AQ1" s="298"/>
      <c r="AR1" s="298"/>
      <c r="AS1" s="299"/>
      <c r="AT1" s="297" t="s">
        <v>91</v>
      </c>
      <c r="AU1" s="298"/>
      <c r="AV1" s="298"/>
      <c r="AW1" s="298"/>
      <c r="AX1" s="299"/>
      <c r="AY1" s="297" t="s">
        <v>92</v>
      </c>
      <c r="AZ1" s="298"/>
      <c r="BA1" s="298"/>
      <c r="BB1" s="299"/>
      <c r="BC1" s="297" t="s">
        <v>93</v>
      </c>
      <c r="BD1" s="298"/>
      <c r="BE1" s="298"/>
      <c r="BF1" s="298"/>
      <c r="BG1" s="299"/>
      <c r="BH1" s="297" t="s">
        <v>42</v>
      </c>
      <c r="BI1" s="298"/>
      <c r="BJ1" s="298"/>
      <c r="BK1" s="299"/>
    </row>
    <row r="2" spans="1:63" ht="15" customHeight="1">
      <c r="A2" s="532" t="str">
        <f>IF(Bìa!A2="","",Bìa!A2)</f>
        <v>Manager User</v>
      </c>
      <c r="B2" s="533"/>
      <c r="C2" s="533"/>
      <c r="D2" s="533"/>
      <c r="E2" s="533"/>
      <c r="F2" s="533"/>
      <c r="G2" s="533"/>
      <c r="H2" s="533"/>
      <c r="I2" s="533"/>
      <c r="J2" s="534"/>
      <c r="K2" s="532" t="str">
        <f>IF(Bìa!K2="","",Bìa!K2)</f>
        <v>Thiết kế API</v>
      </c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4"/>
      <c r="W2" s="550"/>
      <c r="X2" s="551"/>
      <c r="Y2" s="551"/>
      <c r="Z2" s="551"/>
      <c r="AA2" s="551"/>
      <c r="AB2" s="551"/>
      <c r="AC2" s="551"/>
      <c r="AD2" s="551"/>
      <c r="AE2" s="551"/>
      <c r="AF2" s="551"/>
      <c r="AG2" s="551"/>
      <c r="AH2" s="551"/>
      <c r="AI2" s="551"/>
      <c r="AJ2" s="551"/>
      <c r="AK2" s="551"/>
      <c r="AL2" s="551"/>
      <c r="AM2" s="551"/>
      <c r="AN2" s="551"/>
      <c r="AO2" s="552"/>
      <c r="AP2" s="532" t="str">
        <f>IF(Bìa!AP2="","",Bìa!AP2)</f>
        <v>ThanhPD</v>
      </c>
      <c r="AQ2" s="533"/>
      <c r="AR2" s="533"/>
      <c r="AS2" s="534"/>
      <c r="AT2" s="541">
        <f>IF(Bìa!AT2="","",Bìa!AT2)</f>
        <v>44930</v>
      </c>
      <c r="AU2" s="542"/>
      <c r="AV2" s="542"/>
      <c r="AW2" s="542"/>
      <c r="AX2" s="543"/>
      <c r="AY2" s="532" t="str">
        <f>IF(Bìa!AY2="","",Bìa!AY2)</f>
        <v>ThanhPD</v>
      </c>
      <c r="AZ2" s="533"/>
      <c r="BA2" s="533"/>
      <c r="BB2" s="534"/>
      <c r="BC2" s="541">
        <f>IF(Bìa!BC2="","",Bìa!BC2)</f>
        <v>44930</v>
      </c>
      <c r="BD2" s="542"/>
      <c r="BE2" s="542"/>
      <c r="BF2" s="542"/>
      <c r="BG2" s="543"/>
      <c r="BH2" s="532">
        <f>IF(Bìa!BH2="","",Bìa!BH2)</f>
        <v>0.1</v>
      </c>
      <c r="BI2" s="533"/>
      <c r="BJ2" s="533"/>
      <c r="BK2" s="534"/>
    </row>
    <row r="3" spans="1:63" ht="15" customHeight="1">
      <c r="A3" s="535"/>
      <c r="B3" s="536"/>
      <c r="C3" s="536"/>
      <c r="D3" s="536"/>
      <c r="E3" s="536"/>
      <c r="F3" s="536"/>
      <c r="G3" s="536"/>
      <c r="H3" s="536"/>
      <c r="I3" s="536"/>
      <c r="J3" s="537"/>
      <c r="K3" s="535"/>
      <c r="L3" s="536"/>
      <c r="M3" s="536"/>
      <c r="N3" s="536"/>
      <c r="O3" s="536"/>
      <c r="P3" s="536"/>
      <c r="Q3" s="536"/>
      <c r="R3" s="536"/>
      <c r="S3" s="536"/>
      <c r="T3" s="536"/>
      <c r="U3" s="536"/>
      <c r="V3" s="537"/>
      <c r="W3" s="553"/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4"/>
      <c r="AL3" s="554"/>
      <c r="AM3" s="554"/>
      <c r="AN3" s="554"/>
      <c r="AO3" s="555"/>
      <c r="AP3" s="535"/>
      <c r="AQ3" s="536"/>
      <c r="AR3" s="536"/>
      <c r="AS3" s="537"/>
      <c r="AT3" s="544"/>
      <c r="AU3" s="545"/>
      <c r="AV3" s="545"/>
      <c r="AW3" s="545"/>
      <c r="AX3" s="546"/>
      <c r="AY3" s="535"/>
      <c r="AZ3" s="536"/>
      <c r="BA3" s="536"/>
      <c r="BB3" s="537"/>
      <c r="BC3" s="544"/>
      <c r="BD3" s="545"/>
      <c r="BE3" s="545"/>
      <c r="BF3" s="545"/>
      <c r="BG3" s="546"/>
      <c r="BH3" s="535"/>
      <c r="BI3" s="536"/>
      <c r="BJ3" s="536"/>
      <c r="BK3" s="537"/>
    </row>
    <row r="4" spans="1:63" ht="24.95" customHeight="1">
      <c r="A4" s="297" t="s">
        <v>94</v>
      </c>
      <c r="B4" s="298"/>
      <c r="C4" s="298"/>
      <c r="D4" s="298"/>
      <c r="E4" s="298"/>
      <c r="F4" s="298"/>
      <c r="G4" s="299"/>
      <c r="H4" s="538" t="str">
        <f>IF(Bìa!H4="","",Bìa!H4)</f>
        <v/>
      </c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40"/>
      <c r="U4" s="297" t="s">
        <v>95</v>
      </c>
      <c r="V4" s="298"/>
      <c r="W4" s="298"/>
      <c r="X4" s="298"/>
      <c r="Y4" s="299"/>
      <c r="Z4" s="538" t="str">
        <f>IF(Bìa!Z4="","",Bìa!Z4)</f>
        <v>Update Employee</v>
      </c>
      <c r="AA4" s="539"/>
      <c r="AB4" s="539"/>
      <c r="AC4" s="539"/>
      <c r="AD4" s="539"/>
      <c r="AE4" s="539"/>
      <c r="AF4" s="539"/>
      <c r="AG4" s="539"/>
      <c r="AH4" s="539"/>
      <c r="AI4" s="539"/>
      <c r="AJ4" s="539"/>
      <c r="AK4" s="539"/>
      <c r="AL4" s="539"/>
      <c r="AM4" s="539"/>
      <c r="AN4" s="539"/>
      <c r="AO4" s="540"/>
      <c r="AP4" s="538" t="s">
        <v>96</v>
      </c>
      <c r="AQ4" s="539"/>
      <c r="AR4" s="539"/>
      <c r="AS4" s="539"/>
      <c r="AT4" s="539"/>
      <c r="AU4" s="539"/>
      <c r="AV4" s="539"/>
      <c r="AW4" s="539"/>
      <c r="AX4" s="539"/>
      <c r="AY4" s="539"/>
      <c r="AZ4" s="539"/>
      <c r="BA4" s="539"/>
      <c r="BB4" s="539"/>
      <c r="BC4" s="539"/>
      <c r="BD4" s="539"/>
      <c r="BE4" s="539"/>
      <c r="BF4" s="539"/>
      <c r="BG4" s="539"/>
      <c r="BH4" s="539"/>
      <c r="BI4" s="539"/>
      <c r="BJ4" s="539"/>
      <c r="BK4" s="540"/>
    </row>
    <row r="5" spans="1:63" ht="5.0999999999999996" customHeight="1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>
      <c r="A7" s="23"/>
      <c r="B7" s="159" t="s">
        <v>60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>
      <c r="A8" s="23"/>
      <c r="B8" s="159"/>
      <c r="C8" s="24" t="s">
        <v>54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>
      <c r="A9" s="23"/>
      <c r="B9" s="159" t="s">
        <v>61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s="119" customFormat="1" ht="15" customHeight="1">
      <c r="A10" s="178"/>
      <c r="B10" s="117"/>
      <c r="C10" s="179" t="s">
        <v>194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8"/>
    </row>
    <row r="11" spans="1:63" s="119" customFormat="1" ht="15" customHeight="1">
      <c r="A11" s="178"/>
      <c r="B11" s="117"/>
      <c r="C11" s="179"/>
      <c r="D11" s="117"/>
      <c r="E11" s="117" t="s">
        <v>145</v>
      </c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8"/>
    </row>
    <row r="12" spans="1:63" s="119" customFormat="1" ht="15" customHeight="1">
      <c r="A12" s="178"/>
      <c r="B12" s="117"/>
      <c r="C12" s="179"/>
      <c r="D12" s="117"/>
      <c r="E12" s="117"/>
      <c r="F12" s="117" t="s">
        <v>232</v>
      </c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8"/>
    </row>
    <row r="13" spans="1:63" s="119" customFormat="1" ht="15" customHeight="1">
      <c r="A13" s="178"/>
      <c r="B13" s="117"/>
      <c r="C13" s="179"/>
      <c r="D13" s="117"/>
      <c r="E13" s="117"/>
      <c r="F13" s="117" t="s">
        <v>242</v>
      </c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8"/>
    </row>
    <row r="14" spans="1:63" s="119" customFormat="1" ht="15" customHeight="1">
      <c r="A14" s="178"/>
      <c r="B14" s="117"/>
      <c r="C14" s="179"/>
      <c r="D14" s="117"/>
      <c r="E14" s="117" t="s">
        <v>233</v>
      </c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8"/>
    </row>
    <row r="15" spans="1:63" s="119" customFormat="1" ht="15" customHeight="1">
      <c r="A15" s="178"/>
      <c r="B15" s="117"/>
      <c r="C15" s="179"/>
      <c r="D15" s="117"/>
      <c r="E15" s="117"/>
      <c r="F15" s="117" t="s">
        <v>195</v>
      </c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8"/>
    </row>
    <row r="16" spans="1:63" s="119" customFormat="1" ht="15" customHeight="1">
      <c r="A16" s="178"/>
      <c r="B16" s="117"/>
      <c r="C16" s="179"/>
      <c r="D16" s="117"/>
      <c r="E16" s="117"/>
      <c r="F16" s="117" t="s">
        <v>196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8"/>
    </row>
    <row r="17" spans="1:63" s="119" customFormat="1" ht="15" customHeight="1">
      <c r="A17" s="178"/>
      <c r="B17" s="117"/>
      <c r="C17" s="179"/>
      <c r="D17" s="117"/>
      <c r="E17" s="117"/>
      <c r="F17" s="117" t="s">
        <v>197</v>
      </c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8"/>
    </row>
    <row r="18" spans="1:63" s="119" customFormat="1" ht="15" customHeight="1">
      <c r="A18" s="178"/>
      <c r="B18" s="117"/>
      <c r="C18" s="179"/>
      <c r="D18" s="117"/>
      <c r="E18" s="117"/>
      <c r="F18" s="117" t="s">
        <v>231</v>
      </c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8"/>
    </row>
    <row r="19" spans="1:63" s="119" customFormat="1" ht="15" customHeight="1">
      <c r="A19" s="178"/>
      <c r="B19" s="117"/>
      <c r="C19" s="179"/>
      <c r="D19" s="117"/>
      <c r="E19" s="117" t="s">
        <v>234</v>
      </c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8"/>
    </row>
    <row r="20" spans="1:63" s="119" customFormat="1" ht="15" customHeight="1">
      <c r="A20" s="178"/>
      <c r="B20" s="117"/>
      <c r="C20" s="179"/>
      <c r="D20" s="117"/>
      <c r="E20" s="117"/>
      <c r="F20" s="117" t="s">
        <v>198</v>
      </c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250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8"/>
    </row>
    <row r="21" spans="1:63" s="119" customFormat="1" ht="15" customHeight="1">
      <c r="A21" s="178"/>
      <c r="B21" s="117"/>
      <c r="C21" s="179"/>
      <c r="D21" s="117"/>
      <c r="E21" s="117"/>
      <c r="F21" s="117" t="s">
        <v>199</v>
      </c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8"/>
    </row>
    <row r="22" spans="1:63" s="119" customFormat="1" ht="15" customHeight="1">
      <c r="A22" s="178"/>
      <c r="B22" s="117"/>
      <c r="C22" s="179"/>
      <c r="D22" s="117"/>
      <c r="E22" s="117" t="s">
        <v>235</v>
      </c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8"/>
    </row>
    <row r="23" spans="1:63" s="119" customFormat="1" ht="15" customHeight="1">
      <c r="A23" s="178"/>
      <c r="B23" s="117"/>
      <c r="C23" s="179"/>
      <c r="D23" s="117"/>
      <c r="E23" s="117"/>
      <c r="F23" s="117" t="s">
        <v>200</v>
      </c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250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8"/>
    </row>
    <row r="24" spans="1:63" s="119" customFormat="1" ht="15" customHeight="1">
      <c r="A24" s="178"/>
      <c r="B24" s="117"/>
      <c r="C24" s="179"/>
      <c r="D24" s="117"/>
      <c r="E24" s="117"/>
      <c r="F24" s="117" t="s">
        <v>201</v>
      </c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8"/>
    </row>
    <row r="25" spans="1:63" s="119" customFormat="1" ht="15" customHeight="1">
      <c r="A25" s="178"/>
      <c r="B25" s="117"/>
      <c r="C25" s="179"/>
      <c r="D25" s="117"/>
      <c r="E25" s="117"/>
      <c r="F25" s="117" t="s">
        <v>202</v>
      </c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250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8"/>
    </row>
    <row r="26" spans="1:63" s="119" customFormat="1" ht="15" customHeight="1">
      <c r="A26" s="178"/>
      <c r="B26" s="117"/>
      <c r="C26" s="179"/>
      <c r="D26" s="117"/>
      <c r="E26" s="117" t="s">
        <v>236</v>
      </c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8"/>
    </row>
    <row r="27" spans="1:63" s="119" customFormat="1" ht="15" customHeight="1">
      <c r="A27" s="178"/>
      <c r="B27" s="117"/>
      <c r="C27" s="179"/>
      <c r="D27" s="117"/>
      <c r="E27" s="117"/>
      <c r="F27" s="117" t="s">
        <v>203</v>
      </c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250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8"/>
    </row>
    <row r="28" spans="1:63" s="119" customFormat="1" ht="15" customHeight="1">
      <c r="A28" s="178"/>
      <c r="B28" s="117"/>
      <c r="C28" s="179"/>
      <c r="D28" s="117"/>
      <c r="E28" s="117"/>
      <c r="F28" s="117" t="s">
        <v>247</v>
      </c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250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8"/>
    </row>
    <row r="29" spans="1:63" s="119" customFormat="1" ht="15" customHeight="1">
      <c r="A29" s="178"/>
      <c r="B29" s="117"/>
      <c r="C29" s="179"/>
      <c r="D29" s="117"/>
      <c r="E29" s="117"/>
      <c r="F29" s="117" t="s">
        <v>204</v>
      </c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250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8"/>
    </row>
    <row r="30" spans="1:63" s="119" customFormat="1" ht="15" customHeight="1">
      <c r="A30" s="178"/>
      <c r="B30" s="117"/>
      <c r="C30" s="179"/>
      <c r="D30" s="117"/>
      <c r="E30" s="117" t="s">
        <v>237</v>
      </c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8"/>
    </row>
    <row r="31" spans="1:63" s="119" customFormat="1" ht="15" customHeight="1">
      <c r="A31" s="178"/>
      <c r="B31" s="117"/>
      <c r="C31" s="179"/>
      <c r="D31" s="117"/>
      <c r="E31" s="117"/>
      <c r="F31" s="117" t="s">
        <v>205</v>
      </c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250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8"/>
    </row>
    <row r="32" spans="1:63" s="119" customFormat="1" ht="15" customHeight="1">
      <c r="A32" s="178"/>
      <c r="B32" s="117"/>
      <c r="C32" s="179"/>
      <c r="D32" s="117"/>
      <c r="E32" s="117"/>
      <c r="F32" s="117" t="s">
        <v>206</v>
      </c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8"/>
    </row>
    <row r="33" spans="1:63" s="119" customFormat="1" ht="15" customHeight="1">
      <c r="A33" s="178"/>
      <c r="B33" s="117"/>
      <c r="C33" s="179"/>
      <c r="D33" s="117"/>
      <c r="E33" s="117" t="s">
        <v>238</v>
      </c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8"/>
    </row>
    <row r="34" spans="1:63" s="119" customFormat="1" ht="15" customHeight="1">
      <c r="A34" s="178"/>
      <c r="B34" s="117"/>
      <c r="C34" s="179"/>
      <c r="D34" s="117"/>
      <c r="E34" s="117"/>
      <c r="F34" s="117" t="s">
        <v>207</v>
      </c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250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8"/>
    </row>
    <row r="35" spans="1:63" s="119" customFormat="1" ht="15" customHeight="1">
      <c r="A35" s="178"/>
      <c r="B35" s="117"/>
      <c r="C35" s="179"/>
      <c r="D35" s="117"/>
      <c r="E35" s="117"/>
      <c r="F35" s="117" t="s">
        <v>208</v>
      </c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8"/>
    </row>
    <row r="36" spans="1:63" s="119" customFormat="1" ht="15" customHeight="1">
      <c r="A36" s="178"/>
      <c r="B36" s="117"/>
      <c r="C36" s="179"/>
      <c r="D36" s="117"/>
      <c r="E36" s="117"/>
      <c r="F36" s="117" t="s">
        <v>246</v>
      </c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8"/>
    </row>
    <row r="37" spans="1:63" s="119" customFormat="1" ht="15" customHeight="1">
      <c r="A37" s="178"/>
      <c r="B37" s="117"/>
      <c r="C37" s="179"/>
      <c r="D37" s="117"/>
      <c r="E37" s="117" t="s">
        <v>239</v>
      </c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8"/>
    </row>
    <row r="38" spans="1:63" s="119" customFormat="1" ht="15" customHeight="1">
      <c r="A38" s="178"/>
      <c r="B38" s="117"/>
      <c r="C38" s="179"/>
      <c r="D38" s="117"/>
      <c r="E38" s="117"/>
      <c r="F38" s="117" t="s">
        <v>209</v>
      </c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250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8"/>
    </row>
    <row r="39" spans="1:63" s="119" customFormat="1" ht="15" customHeight="1">
      <c r="A39" s="178"/>
      <c r="B39" s="117"/>
      <c r="C39" s="179"/>
      <c r="D39" s="117"/>
      <c r="E39" s="117"/>
      <c r="F39" s="117" t="s">
        <v>245</v>
      </c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250"/>
      <c r="AX39" s="117"/>
      <c r="AY39" s="117"/>
      <c r="AZ39" s="117"/>
      <c r="BA39" s="117"/>
      <c r="BB39" s="117"/>
      <c r="BC39" s="117"/>
      <c r="BD39" s="117"/>
      <c r="BE39" s="117"/>
      <c r="BF39" s="117"/>
      <c r="BG39" s="117"/>
      <c r="BH39" s="117"/>
      <c r="BI39" s="117"/>
      <c r="BJ39" s="117"/>
      <c r="BK39" s="118"/>
    </row>
    <row r="40" spans="1:63" s="119" customFormat="1" ht="15" customHeight="1">
      <c r="A40" s="178"/>
      <c r="B40" s="117"/>
      <c r="C40" s="179"/>
      <c r="D40" s="117"/>
      <c r="E40" s="117" t="s">
        <v>240</v>
      </c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8"/>
    </row>
    <row r="41" spans="1:63" s="119" customFormat="1" ht="15" customHeight="1">
      <c r="A41" s="178"/>
      <c r="B41" s="117"/>
      <c r="C41" s="179"/>
      <c r="D41" s="117"/>
      <c r="E41" s="117"/>
      <c r="F41" s="117" t="s">
        <v>210</v>
      </c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/>
      <c r="BC41" s="117"/>
      <c r="BD41" s="117"/>
      <c r="BE41" s="117"/>
      <c r="BF41" s="117"/>
      <c r="BG41" s="117"/>
      <c r="BH41" s="117"/>
      <c r="BI41" s="117"/>
      <c r="BJ41" s="117"/>
      <c r="BK41" s="118"/>
    </row>
    <row r="42" spans="1:63" s="119" customFormat="1" ht="15" customHeight="1">
      <c r="A42" s="178"/>
      <c r="B42" s="117"/>
      <c r="C42" s="179"/>
      <c r="D42" s="117"/>
      <c r="E42" s="117"/>
      <c r="F42" s="117" t="s">
        <v>211</v>
      </c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7"/>
      <c r="BF42" s="117"/>
      <c r="BG42" s="117"/>
      <c r="BH42" s="117"/>
      <c r="BI42" s="117"/>
      <c r="BJ42" s="117"/>
      <c r="BK42" s="118"/>
    </row>
    <row r="43" spans="1:63" s="119" customFormat="1" ht="15" customHeight="1">
      <c r="A43" s="178"/>
      <c r="B43" s="117"/>
      <c r="C43" s="179"/>
      <c r="D43" s="117"/>
      <c r="E43" s="117"/>
      <c r="F43" s="117" t="s">
        <v>212</v>
      </c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8"/>
    </row>
    <row r="44" spans="1:63" s="119" customFormat="1" ht="15" customHeight="1">
      <c r="A44" s="178"/>
      <c r="B44" s="117"/>
      <c r="C44" s="179"/>
      <c r="D44" s="117"/>
      <c r="E44" s="117" t="s">
        <v>241</v>
      </c>
      <c r="F44" s="117"/>
      <c r="G44" s="117"/>
      <c r="H44" s="117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C44" s="117"/>
      <c r="BD44" s="117"/>
      <c r="BE44" s="117"/>
      <c r="BF44" s="117"/>
      <c r="BG44" s="117"/>
      <c r="BH44" s="117"/>
      <c r="BI44" s="117"/>
      <c r="BJ44" s="117"/>
      <c r="BK44" s="118"/>
    </row>
    <row r="45" spans="1:63" s="119" customFormat="1" ht="15" customHeight="1">
      <c r="A45" s="178"/>
      <c r="B45" s="117"/>
      <c r="C45" s="179"/>
      <c r="D45" s="117"/>
      <c r="E45" s="250"/>
      <c r="F45" s="117" t="s">
        <v>213</v>
      </c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7"/>
      <c r="BE45" s="117"/>
      <c r="BF45" s="117"/>
      <c r="BG45" s="117"/>
      <c r="BH45" s="117"/>
      <c r="BI45" s="117"/>
      <c r="BJ45" s="117"/>
      <c r="BK45" s="118"/>
    </row>
    <row r="46" spans="1:63" s="119" customFormat="1" ht="15" customHeight="1">
      <c r="A46" s="178"/>
      <c r="B46" s="117"/>
      <c r="C46" s="179"/>
      <c r="D46" s="117"/>
      <c r="E46" s="250"/>
      <c r="G46" s="117" t="s">
        <v>192</v>
      </c>
      <c r="H46" s="117"/>
      <c r="I46" s="117"/>
      <c r="J46" s="254"/>
      <c r="K46" s="117"/>
      <c r="L46" s="117"/>
      <c r="M46" s="117"/>
      <c r="N46" s="117"/>
      <c r="O46" s="117"/>
      <c r="P46" s="119" t="s">
        <v>214</v>
      </c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250"/>
      <c r="AC46" s="250"/>
      <c r="AD46" s="250"/>
      <c r="AE46" s="250"/>
      <c r="AF46" s="250"/>
      <c r="AG46" s="250"/>
      <c r="AH46" s="250"/>
      <c r="AI46" s="250"/>
      <c r="AJ46" s="283" t="s">
        <v>215</v>
      </c>
      <c r="AK46" s="284"/>
      <c r="AL46" s="284"/>
      <c r="AM46" s="284"/>
      <c r="AN46" s="284"/>
      <c r="AO46" s="250"/>
      <c r="AP46" s="250"/>
      <c r="AQ46" s="250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8"/>
    </row>
    <row r="47" spans="1:63" s="119" customFormat="1" ht="15" customHeight="1">
      <c r="A47" s="178"/>
      <c r="B47" s="117"/>
      <c r="C47" s="179"/>
      <c r="D47" s="117"/>
      <c r="E47" s="250"/>
      <c r="G47" s="117"/>
      <c r="H47" s="117"/>
      <c r="I47" s="117"/>
      <c r="J47" s="254"/>
      <c r="K47" s="117"/>
      <c r="L47" s="117"/>
      <c r="M47" s="117"/>
      <c r="N47" s="117"/>
      <c r="O47" s="117"/>
      <c r="P47" s="117" t="s">
        <v>216</v>
      </c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250"/>
      <c r="AC47" s="250"/>
      <c r="AD47" s="250"/>
      <c r="AE47" s="250"/>
      <c r="AF47" s="250"/>
      <c r="AG47" s="250"/>
      <c r="AH47" s="250"/>
      <c r="AI47" s="250"/>
      <c r="AJ47" s="283" t="s">
        <v>215</v>
      </c>
      <c r="AK47" s="284"/>
      <c r="AL47" s="284"/>
      <c r="AM47" s="284"/>
      <c r="AN47" s="284"/>
      <c r="AO47" s="250"/>
      <c r="AP47" s="250"/>
      <c r="AQ47" s="250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17"/>
      <c r="BK47" s="118"/>
    </row>
    <row r="48" spans="1:63" s="119" customFormat="1" ht="15" customHeight="1">
      <c r="A48" s="178"/>
      <c r="B48" s="117"/>
      <c r="C48" s="179"/>
      <c r="D48" s="117"/>
      <c r="E48" s="250"/>
      <c r="G48" s="117"/>
      <c r="H48" s="117"/>
      <c r="I48" s="117"/>
      <c r="J48" s="254"/>
      <c r="K48" s="117"/>
      <c r="L48" s="117"/>
      <c r="M48" s="117"/>
      <c r="N48" s="117"/>
      <c r="O48" s="117"/>
      <c r="P48" s="117" t="s">
        <v>217</v>
      </c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250"/>
      <c r="AC48" s="250"/>
      <c r="AD48" s="250"/>
      <c r="AE48" s="250"/>
      <c r="AF48" s="250"/>
      <c r="AG48" s="250"/>
      <c r="AH48" s="250"/>
      <c r="AI48" s="250"/>
      <c r="AJ48" s="283" t="s">
        <v>218</v>
      </c>
      <c r="AK48" s="284"/>
      <c r="AL48" s="284"/>
      <c r="AM48" s="284"/>
      <c r="AN48" s="284"/>
      <c r="AO48" s="250"/>
      <c r="AP48" s="250"/>
      <c r="AQ48" s="250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8"/>
    </row>
    <row r="49" spans="1:64" s="119" customFormat="1" ht="15" customHeight="1">
      <c r="A49" s="178"/>
      <c r="B49" s="117"/>
      <c r="C49" s="179"/>
      <c r="D49" s="117"/>
      <c r="E49" s="250"/>
      <c r="G49" s="117" t="s">
        <v>193</v>
      </c>
      <c r="H49" s="117"/>
      <c r="I49" s="117"/>
      <c r="J49" s="254"/>
      <c r="K49" s="117"/>
      <c r="L49" s="117"/>
      <c r="M49" s="117"/>
      <c r="N49" s="117"/>
      <c r="O49" s="117"/>
      <c r="P49" s="119" t="s">
        <v>214</v>
      </c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250"/>
      <c r="AC49" s="250"/>
      <c r="AD49" s="250"/>
      <c r="AE49" s="250"/>
      <c r="AF49" s="250"/>
      <c r="AG49" s="250"/>
      <c r="AH49" s="250"/>
      <c r="AI49" s="250"/>
      <c r="AJ49" s="283" t="s">
        <v>219</v>
      </c>
      <c r="AK49" s="284"/>
      <c r="AL49" s="284"/>
      <c r="AM49" s="284"/>
      <c r="AN49" s="284"/>
      <c r="AO49" s="250"/>
      <c r="AP49" s="250"/>
      <c r="AQ49" s="250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8"/>
    </row>
    <row r="50" spans="1:64" s="119" customFormat="1" ht="15" customHeight="1">
      <c r="A50" s="178"/>
      <c r="B50" s="117"/>
      <c r="C50" s="179"/>
      <c r="D50" s="117"/>
      <c r="E50" s="250"/>
      <c r="G50" s="117"/>
      <c r="H50" s="117"/>
      <c r="I50" s="117"/>
      <c r="J50" s="254"/>
      <c r="K50" s="117"/>
      <c r="L50" s="117"/>
      <c r="M50" s="117"/>
      <c r="N50" s="117"/>
      <c r="O50" s="117"/>
      <c r="P50" s="117" t="s">
        <v>216</v>
      </c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250"/>
      <c r="AC50" s="250"/>
      <c r="AD50" s="250"/>
      <c r="AE50" s="250"/>
      <c r="AF50" s="250"/>
      <c r="AG50" s="250"/>
      <c r="AH50" s="250"/>
      <c r="AI50" s="250"/>
      <c r="AJ50" s="283" t="s">
        <v>219</v>
      </c>
      <c r="AK50" s="284"/>
      <c r="AL50" s="284"/>
      <c r="AM50" s="284"/>
      <c r="AN50" s="284"/>
      <c r="AO50" s="250"/>
      <c r="AP50" s="250"/>
      <c r="AQ50" s="250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8"/>
    </row>
    <row r="51" spans="1:64" s="119" customFormat="1" ht="15" customHeight="1">
      <c r="A51" s="178"/>
      <c r="B51" s="117"/>
      <c r="C51" s="179"/>
      <c r="D51" s="117"/>
      <c r="E51" s="250"/>
      <c r="G51" s="117"/>
      <c r="H51" s="117"/>
      <c r="I51" s="117"/>
      <c r="J51" s="254"/>
      <c r="K51" s="117"/>
      <c r="L51" s="117"/>
      <c r="M51" s="117"/>
      <c r="N51" s="117"/>
      <c r="O51" s="117"/>
      <c r="P51" s="117" t="s">
        <v>217</v>
      </c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250"/>
      <c r="AC51" s="250"/>
      <c r="AD51" s="250"/>
      <c r="AE51" s="250"/>
      <c r="AF51" s="250"/>
      <c r="AG51" s="250"/>
      <c r="AH51" s="250"/>
      <c r="AI51" s="250"/>
      <c r="AJ51" s="283" t="s">
        <v>220</v>
      </c>
      <c r="AK51" s="284"/>
      <c r="AL51" s="284"/>
      <c r="AM51" s="284"/>
      <c r="AN51" s="284"/>
      <c r="AO51" s="250"/>
      <c r="AP51" s="250"/>
      <c r="AQ51" s="250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8"/>
    </row>
    <row r="52" spans="1:64" s="119" customFormat="1" ht="15" customHeight="1">
      <c r="A52" s="178"/>
      <c r="B52" s="117"/>
      <c r="C52" s="179"/>
      <c r="D52" s="117"/>
      <c r="E52" s="250"/>
      <c r="G52" s="117"/>
      <c r="H52" s="117"/>
      <c r="I52" s="117"/>
      <c r="J52" s="254"/>
      <c r="K52" s="117"/>
      <c r="L52" s="117"/>
      <c r="M52" s="117"/>
      <c r="N52" s="117"/>
      <c r="O52" s="117"/>
      <c r="P52" s="117" t="s">
        <v>243</v>
      </c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250"/>
      <c r="AC52" s="250"/>
      <c r="AD52" s="250"/>
      <c r="AE52" s="250"/>
      <c r="AF52" s="250"/>
      <c r="AG52" s="250"/>
      <c r="AH52" s="250"/>
      <c r="AI52" s="250"/>
      <c r="AJ52" s="283" t="s">
        <v>221</v>
      </c>
      <c r="AK52" s="284"/>
      <c r="AL52" s="284"/>
      <c r="AM52" s="284"/>
      <c r="AN52" s="284"/>
      <c r="AO52" s="250"/>
      <c r="AP52" s="250"/>
      <c r="AQ52" s="250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7"/>
      <c r="BH52" s="117"/>
      <c r="BI52" s="117"/>
      <c r="BJ52" s="117"/>
      <c r="BK52" s="118"/>
    </row>
    <row r="53" spans="1:64" s="119" customFormat="1" ht="15" customHeight="1">
      <c r="A53" s="178"/>
      <c r="B53" s="117"/>
      <c r="C53" s="179"/>
      <c r="D53" s="117"/>
      <c r="E53" s="250"/>
      <c r="G53" s="117" t="s">
        <v>87</v>
      </c>
      <c r="H53" s="117"/>
      <c r="I53" s="117"/>
      <c r="J53" s="254"/>
      <c r="K53" s="117"/>
      <c r="L53" s="117"/>
      <c r="M53" s="117"/>
      <c r="N53" s="117"/>
      <c r="O53" s="117"/>
      <c r="P53" s="119" t="s">
        <v>214</v>
      </c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250"/>
      <c r="AC53" s="250"/>
      <c r="AD53" s="250"/>
      <c r="AE53" s="250"/>
      <c r="AF53" s="250"/>
      <c r="AG53" s="250"/>
      <c r="AH53" s="250"/>
      <c r="AI53" s="250"/>
      <c r="AJ53" s="283" t="s">
        <v>222</v>
      </c>
      <c r="AK53" s="284"/>
      <c r="AL53" s="284"/>
      <c r="AM53" s="284"/>
      <c r="AN53" s="284"/>
      <c r="AO53" s="250"/>
      <c r="AP53" s="250"/>
      <c r="AQ53" s="250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8"/>
    </row>
    <row r="54" spans="1:64" s="119" customFormat="1" ht="15" customHeight="1">
      <c r="A54" s="178"/>
      <c r="B54" s="117"/>
      <c r="C54" s="179"/>
      <c r="D54" s="117"/>
      <c r="E54" s="250"/>
      <c r="G54" s="117"/>
      <c r="H54" s="117"/>
      <c r="I54" s="117"/>
      <c r="J54" s="254"/>
      <c r="K54" s="117"/>
      <c r="L54" s="117"/>
      <c r="M54" s="117"/>
      <c r="N54" s="117"/>
      <c r="O54" s="117"/>
      <c r="P54" s="117" t="s">
        <v>223</v>
      </c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250"/>
      <c r="AC54" s="250"/>
      <c r="AD54" s="250"/>
      <c r="AE54" s="250"/>
      <c r="AF54" s="250"/>
      <c r="AG54" s="250"/>
      <c r="AH54" s="250"/>
      <c r="AI54" s="250"/>
      <c r="AJ54" s="283" t="s">
        <v>224</v>
      </c>
      <c r="AK54" s="284"/>
      <c r="AL54" s="284"/>
      <c r="AM54" s="284"/>
      <c r="AN54" s="284"/>
      <c r="AO54" s="250"/>
      <c r="AP54" s="250"/>
      <c r="AQ54" s="250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8"/>
    </row>
    <row r="55" spans="1:64" s="119" customFormat="1" ht="15" customHeight="1">
      <c r="A55" s="178"/>
      <c r="B55" s="117"/>
      <c r="C55" s="179"/>
      <c r="D55" s="117"/>
      <c r="E55" s="250"/>
      <c r="G55" s="117" t="s">
        <v>163</v>
      </c>
      <c r="H55" s="117"/>
      <c r="I55" s="117"/>
      <c r="J55" s="254"/>
      <c r="K55" s="117"/>
      <c r="L55" s="117"/>
      <c r="M55" s="117"/>
      <c r="N55" s="117"/>
      <c r="O55" s="117"/>
      <c r="P55" s="119" t="s">
        <v>214</v>
      </c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250"/>
      <c r="AC55" s="250"/>
      <c r="AD55" s="250"/>
      <c r="AE55" s="250"/>
      <c r="AF55" s="250"/>
      <c r="AG55" s="250"/>
      <c r="AH55" s="250"/>
      <c r="AI55" s="250"/>
      <c r="AJ55" s="283" t="s">
        <v>225</v>
      </c>
      <c r="AK55" s="284"/>
      <c r="AL55" s="284"/>
      <c r="AM55" s="284"/>
      <c r="AN55" s="284"/>
      <c r="AO55" s="250"/>
      <c r="AP55" s="250"/>
      <c r="AQ55" s="250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8"/>
    </row>
    <row r="56" spans="1:64" s="119" customFormat="1" ht="15" customHeight="1">
      <c r="A56" s="178"/>
      <c r="B56" s="117"/>
      <c r="C56" s="179"/>
      <c r="D56" s="117"/>
      <c r="E56" s="250"/>
      <c r="G56" s="117"/>
      <c r="H56" s="117"/>
      <c r="I56" s="117"/>
      <c r="J56" s="254"/>
      <c r="K56" s="117"/>
      <c r="L56" s="117"/>
      <c r="M56" s="117"/>
      <c r="N56" s="117"/>
      <c r="O56" s="117"/>
      <c r="P56" s="117" t="s">
        <v>226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250"/>
      <c r="AC56" s="250"/>
      <c r="AD56" s="250"/>
      <c r="AE56" s="250"/>
      <c r="AF56" s="250"/>
      <c r="AG56" s="250"/>
      <c r="AH56" s="250"/>
      <c r="AI56" s="250"/>
      <c r="AJ56" s="283" t="s">
        <v>227</v>
      </c>
      <c r="AK56" s="284"/>
      <c r="AL56" s="284"/>
      <c r="AM56" s="284"/>
      <c r="AN56" s="284"/>
      <c r="AO56" s="250"/>
      <c r="AP56" s="250"/>
      <c r="AQ56" s="250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8"/>
    </row>
    <row r="57" spans="1:64" s="119" customFormat="1" ht="15" customHeight="1">
      <c r="A57" s="178"/>
      <c r="B57" s="117"/>
      <c r="C57" s="179"/>
      <c r="D57" s="117"/>
      <c r="E57" s="250"/>
      <c r="G57" s="117"/>
      <c r="H57" s="117"/>
      <c r="I57" s="117"/>
      <c r="J57" s="254"/>
      <c r="K57" s="117"/>
      <c r="L57" s="117"/>
      <c r="M57" s="117"/>
      <c r="N57" s="117"/>
      <c r="O57" s="117"/>
      <c r="P57" s="117" t="s">
        <v>228</v>
      </c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250"/>
      <c r="AC57" s="250"/>
      <c r="AD57" s="250"/>
      <c r="AE57" s="250"/>
      <c r="AF57" s="250"/>
      <c r="AG57" s="250"/>
      <c r="AH57" s="250"/>
      <c r="AI57" s="250"/>
      <c r="AJ57" s="283" t="s">
        <v>229</v>
      </c>
      <c r="AK57" s="284"/>
      <c r="AL57" s="284"/>
      <c r="AM57" s="284"/>
      <c r="AN57" s="284"/>
      <c r="AO57" s="250"/>
      <c r="AP57" s="250"/>
      <c r="AQ57" s="250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8"/>
    </row>
    <row r="58" spans="1:64" s="287" customFormat="1" ht="15" customHeight="1">
      <c r="A58" s="285"/>
      <c r="B58" s="250"/>
      <c r="C58" s="286"/>
      <c r="D58" s="250"/>
      <c r="E58" s="117" t="s">
        <v>230</v>
      </c>
      <c r="G58" s="117"/>
      <c r="H58" s="117"/>
      <c r="I58" s="254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0"/>
      <c r="AM58" s="250"/>
      <c r="AN58" s="250"/>
      <c r="AO58" s="250"/>
      <c r="AP58" s="250"/>
      <c r="AQ58" s="250"/>
      <c r="AR58" s="250"/>
      <c r="AS58" s="250"/>
      <c r="AT58" s="250"/>
      <c r="AU58" s="250"/>
      <c r="AV58" s="250"/>
      <c r="AW58" s="250"/>
      <c r="AX58" s="250"/>
      <c r="AY58" s="250"/>
      <c r="AZ58" s="250"/>
      <c r="BA58" s="250"/>
      <c r="BB58" s="250"/>
      <c r="BC58" s="250"/>
      <c r="BD58" s="250"/>
      <c r="BE58" s="250"/>
      <c r="BF58" s="250"/>
      <c r="BG58" s="250"/>
      <c r="BH58" s="250"/>
      <c r="BI58" s="250"/>
      <c r="BJ58" s="250"/>
      <c r="BK58" s="288"/>
    </row>
    <row r="59" spans="1:64" s="119" customFormat="1" ht="15" customHeight="1">
      <c r="A59" s="178"/>
      <c r="B59" s="117"/>
      <c r="C59" s="179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8"/>
    </row>
    <row r="60" spans="1:64" s="119" customFormat="1" ht="15" customHeight="1">
      <c r="A60" s="178"/>
      <c r="B60" s="255" t="s">
        <v>161</v>
      </c>
      <c r="C60" s="179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  <c r="BE60" s="117"/>
      <c r="BF60" s="117"/>
      <c r="BG60" s="117"/>
      <c r="BH60" s="117"/>
      <c r="BI60" s="117"/>
      <c r="BJ60" s="117"/>
      <c r="BK60" s="118"/>
    </row>
    <row r="61" spans="1:64" s="119" customFormat="1" ht="15" customHeight="1">
      <c r="A61" s="178"/>
      <c r="B61" s="117"/>
      <c r="C61" s="179"/>
      <c r="D61" s="117"/>
      <c r="E61" s="117"/>
      <c r="F61" s="117"/>
      <c r="G61" s="117"/>
      <c r="H61" s="117"/>
      <c r="I61" s="248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118"/>
    </row>
    <row r="62" spans="1:64" ht="15" customHeight="1">
      <c r="A62" s="23"/>
      <c r="B62" s="159"/>
      <c r="C62" s="160" t="s">
        <v>146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5"/>
    </row>
    <row r="63" spans="1:64" ht="15" customHeight="1">
      <c r="A63" s="23"/>
      <c r="B63" s="24"/>
      <c r="C63" s="24"/>
      <c r="D63" s="24" t="s">
        <v>147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136"/>
    </row>
    <row r="64" spans="1:64" ht="15" customHeight="1">
      <c r="A64" s="23"/>
      <c r="B64" s="24"/>
      <c r="C64" s="24"/>
      <c r="D64" s="180" t="s">
        <v>68</v>
      </c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5"/>
    </row>
    <row r="65" spans="1:63" ht="15" customHeight="1">
      <c r="A65" s="23"/>
      <c r="B65" s="24"/>
      <c r="C65" s="24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5"/>
    </row>
    <row r="66" spans="1:63" ht="15" customHeight="1">
      <c r="A66" s="23"/>
      <c r="B66" s="24"/>
      <c r="C66" s="24"/>
      <c r="D66" s="180"/>
      <c r="E66" s="180"/>
      <c r="F66" s="181" t="s">
        <v>69</v>
      </c>
      <c r="G66" s="182"/>
      <c r="H66" s="181" t="s">
        <v>70</v>
      </c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2"/>
      <c r="X66" s="181" t="s">
        <v>71</v>
      </c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4"/>
      <c r="AN66" s="185" t="s">
        <v>72</v>
      </c>
      <c r="AO66" s="183"/>
      <c r="AP66" s="182"/>
      <c r="AQ66" s="181" t="s">
        <v>73</v>
      </c>
      <c r="AR66" s="183"/>
      <c r="AS66" s="182"/>
      <c r="AT66" s="181" t="s">
        <v>74</v>
      </c>
      <c r="AU66" s="183"/>
      <c r="AV66" s="182"/>
      <c r="AW66" s="181" t="s">
        <v>75</v>
      </c>
      <c r="AX66" s="182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5"/>
    </row>
    <row r="67" spans="1:63" ht="15" customHeight="1">
      <c r="A67" s="23"/>
      <c r="B67" s="24"/>
      <c r="C67" s="24"/>
      <c r="D67" s="180"/>
      <c r="E67" s="180"/>
      <c r="F67" s="186">
        <v>1</v>
      </c>
      <c r="G67" s="187"/>
      <c r="H67" s="556" t="s">
        <v>118</v>
      </c>
      <c r="I67" s="557"/>
      <c r="J67" s="557"/>
      <c r="K67" s="557"/>
      <c r="L67" s="557"/>
      <c r="M67" s="557"/>
      <c r="N67" s="557"/>
      <c r="O67" s="557"/>
      <c r="P67" s="557"/>
      <c r="Q67" s="557"/>
      <c r="R67" s="557"/>
      <c r="S67" s="557"/>
      <c r="T67" s="557"/>
      <c r="U67" s="557"/>
      <c r="V67" s="557"/>
      <c r="W67" s="561"/>
      <c r="X67" s="556" t="s">
        <v>119</v>
      </c>
      <c r="Y67" s="557"/>
      <c r="Z67" s="557"/>
      <c r="AA67" s="557"/>
      <c r="AB67" s="557"/>
      <c r="AC67" s="557"/>
      <c r="AD67" s="557"/>
      <c r="AE67" s="557"/>
      <c r="AF67" s="557"/>
      <c r="AG67" s="557"/>
      <c r="AH67" s="557"/>
      <c r="AI67" s="557"/>
      <c r="AJ67" s="557"/>
      <c r="AK67" s="557"/>
      <c r="AL67" s="557"/>
      <c r="AM67" s="558"/>
      <c r="AN67" s="188"/>
      <c r="AO67" s="189"/>
      <c r="AP67" s="187"/>
      <c r="AQ67" s="190"/>
      <c r="AR67" s="127"/>
      <c r="AS67" s="187"/>
      <c r="AT67" s="190"/>
      <c r="AU67" s="189" t="s">
        <v>76</v>
      </c>
      <c r="AV67" s="187"/>
      <c r="AW67" s="190"/>
      <c r="AX67" s="187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5"/>
    </row>
    <row r="68" spans="1:63" ht="15" customHeight="1">
      <c r="A68" s="23"/>
      <c r="B68" s="24"/>
      <c r="C68" s="24"/>
      <c r="D68" s="180"/>
      <c r="E68" s="180"/>
      <c r="F68" s="191"/>
      <c r="G68" s="192"/>
      <c r="H68" s="193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93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92"/>
      <c r="AO68" s="194"/>
      <c r="AP68" s="192"/>
      <c r="AQ68" s="192"/>
      <c r="AR68" s="194"/>
      <c r="AS68" s="192"/>
      <c r="AT68" s="192"/>
      <c r="AU68" s="194"/>
      <c r="AV68" s="192"/>
      <c r="AW68" s="192"/>
      <c r="AX68" s="192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5"/>
    </row>
    <row r="69" spans="1:63" ht="15" customHeight="1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5"/>
    </row>
    <row r="70" spans="1:63" ht="15" customHeight="1">
      <c r="A70" s="23"/>
      <c r="B70" s="24"/>
      <c r="C70" s="24"/>
      <c r="D70" s="119" t="s">
        <v>77</v>
      </c>
      <c r="E70" s="24"/>
      <c r="F70" s="24"/>
      <c r="G70" s="24"/>
      <c r="H70" s="24"/>
      <c r="I70" s="24"/>
      <c r="J70" s="24"/>
      <c r="K70" s="24"/>
      <c r="L70" s="24"/>
      <c r="M70" s="24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5"/>
    </row>
    <row r="71" spans="1:63" ht="15" customHeight="1">
      <c r="A71" s="23"/>
      <c r="B71" s="24"/>
      <c r="C71" s="24"/>
      <c r="D71" s="24"/>
      <c r="E71" s="195" t="s">
        <v>81</v>
      </c>
      <c r="F71" s="195" t="s">
        <v>153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5"/>
    </row>
    <row r="72" spans="1:63" ht="15" customHeight="1">
      <c r="A72" s="23"/>
      <c r="B72" s="24"/>
      <c r="C72" s="24"/>
      <c r="D72" s="24"/>
      <c r="E72" s="24"/>
      <c r="F72" s="196" t="s">
        <v>69</v>
      </c>
      <c r="G72" s="197"/>
      <c r="H72" s="198" t="s">
        <v>78</v>
      </c>
      <c r="I72" s="197"/>
      <c r="J72" s="197"/>
      <c r="K72" s="197"/>
      <c r="L72" s="197"/>
      <c r="M72" s="197"/>
      <c r="N72" s="197"/>
      <c r="O72" s="197"/>
      <c r="P72" s="199"/>
      <c r="Q72" s="200"/>
      <c r="R72" s="201" t="s">
        <v>79</v>
      </c>
      <c r="S72" s="202"/>
      <c r="T72" s="202"/>
      <c r="U72" s="202"/>
      <c r="V72" s="202"/>
      <c r="W72" s="203"/>
      <c r="X72" s="201" t="s">
        <v>80</v>
      </c>
      <c r="Y72" s="183"/>
      <c r="Z72" s="197"/>
      <c r="AA72" s="197"/>
      <c r="AB72" s="197"/>
      <c r="AC72" s="197"/>
      <c r="AD72" s="197"/>
      <c r="AE72" s="197"/>
      <c r="AF72" s="199"/>
      <c r="AG72" s="200"/>
      <c r="AH72" s="204" t="s">
        <v>57</v>
      </c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5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5"/>
    </row>
    <row r="73" spans="1:63" ht="15" customHeight="1">
      <c r="A73" s="23"/>
      <c r="B73" s="24"/>
      <c r="C73" s="24"/>
      <c r="D73" s="24"/>
      <c r="E73" s="24"/>
      <c r="F73" s="559">
        <v>1</v>
      </c>
      <c r="G73" s="560"/>
      <c r="H73" s="131" t="s">
        <v>119</v>
      </c>
      <c r="I73" s="130"/>
      <c r="J73" s="130"/>
      <c r="K73" s="130"/>
      <c r="L73" s="130"/>
      <c r="M73" s="130"/>
      <c r="N73" s="130"/>
      <c r="O73" s="130"/>
      <c r="P73" s="206"/>
      <c r="Q73" s="207"/>
      <c r="R73" s="208" t="s">
        <v>55</v>
      </c>
      <c r="S73" s="127"/>
      <c r="T73" s="127"/>
      <c r="U73" s="127"/>
      <c r="V73" s="127"/>
      <c r="W73" s="209"/>
      <c r="X73" s="137" t="s">
        <v>62</v>
      </c>
      <c r="Y73" s="140"/>
      <c r="Z73" s="130"/>
      <c r="AA73" s="130"/>
      <c r="AB73" s="130"/>
      <c r="AC73" s="130"/>
      <c r="AD73" s="130"/>
      <c r="AE73" s="130"/>
      <c r="AF73" s="206"/>
      <c r="AG73" s="207"/>
      <c r="AH73" s="47" t="s">
        <v>131</v>
      </c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3"/>
      <c r="AX73" s="24"/>
      <c r="AY73" s="213"/>
      <c r="AZ73" s="24"/>
      <c r="BA73" s="240"/>
      <c r="BB73" s="24"/>
      <c r="BC73" s="24"/>
      <c r="BD73" s="24"/>
      <c r="BE73" s="24"/>
      <c r="BF73" s="24"/>
      <c r="BG73" s="24"/>
      <c r="BH73" s="24"/>
      <c r="BI73" s="24"/>
      <c r="BJ73" s="24"/>
      <c r="BK73" s="25"/>
    </row>
    <row r="74" spans="1:63" ht="15" customHeight="1">
      <c r="A74" s="23"/>
      <c r="B74" s="24"/>
      <c r="C74" s="24"/>
      <c r="D74" s="24"/>
      <c r="E74" s="24"/>
      <c r="F74" s="559">
        <v>2</v>
      </c>
      <c r="G74" s="560"/>
      <c r="H74" s="131" t="s">
        <v>119</v>
      </c>
      <c r="I74" s="130"/>
      <c r="J74" s="130"/>
      <c r="K74" s="130"/>
      <c r="L74" s="130"/>
      <c r="M74" s="130"/>
      <c r="N74" s="130"/>
      <c r="O74" s="130"/>
      <c r="P74" s="206"/>
      <c r="Q74" s="207"/>
      <c r="R74" s="208" t="s">
        <v>55</v>
      </c>
      <c r="S74" s="127"/>
      <c r="T74" s="127"/>
      <c r="U74" s="127"/>
      <c r="V74" s="127"/>
      <c r="W74" s="209"/>
      <c r="X74" s="137" t="s">
        <v>121</v>
      </c>
      <c r="Y74" s="140"/>
      <c r="Z74" s="130"/>
      <c r="AA74" s="130"/>
      <c r="AB74" s="130"/>
      <c r="AC74" s="130"/>
      <c r="AD74" s="130"/>
      <c r="AE74" s="130"/>
      <c r="AF74" s="206"/>
      <c r="AG74" s="207"/>
      <c r="AH74" s="47" t="s">
        <v>130</v>
      </c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3"/>
      <c r="AX74" s="24"/>
      <c r="AY74" s="213"/>
      <c r="AZ74" s="24"/>
      <c r="BA74" s="240"/>
      <c r="BB74" s="24"/>
      <c r="BC74" s="24"/>
      <c r="BD74" s="24"/>
      <c r="BE74" s="24"/>
      <c r="BF74" s="24"/>
      <c r="BG74" s="24"/>
      <c r="BH74" s="24"/>
      <c r="BI74" s="24"/>
      <c r="BJ74" s="24"/>
      <c r="BK74" s="25"/>
    </row>
    <row r="75" spans="1:63" ht="15" customHeight="1">
      <c r="A75" s="23"/>
      <c r="B75" s="24"/>
      <c r="C75" s="24"/>
      <c r="D75" s="24"/>
      <c r="E75" s="24"/>
      <c r="F75" s="559">
        <v>3</v>
      </c>
      <c r="G75" s="560"/>
      <c r="H75" s="131" t="s">
        <v>119</v>
      </c>
      <c r="I75" s="130"/>
      <c r="J75" s="130"/>
      <c r="K75" s="130"/>
      <c r="L75" s="130"/>
      <c r="M75" s="130"/>
      <c r="N75" s="130"/>
      <c r="O75" s="130"/>
      <c r="P75" s="206"/>
      <c r="Q75" s="207"/>
      <c r="R75" s="208" t="s">
        <v>55</v>
      </c>
      <c r="S75" s="127"/>
      <c r="T75" s="127"/>
      <c r="U75" s="127"/>
      <c r="V75" s="127"/>
      <c r="W75" s="209"/>
      <c r="X75" s="217" t="s">
        <v>127</v>
      </c>
      <c r="Y75" s="218"/>
      <c r="Z75" s="130"/>
      <c r="AA75" s="130"/>
      <c r="AB75" s="130"/>
      <c r="AC75" s="130"/>
      <c r="AD75" s="130"/>
      <c r="AE75" s="130"/>
      <c r="AF75" s="206"/>
      <c r="AG75" s="207"/>
      <c r="AH75" s="47" t="s">
        <v>132</v>
      </c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3"/>
      <c r="AX75" s="24"/>
      <c r="AY75" s="213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5"/>
    </row>
    <row r="76" spans="1:63" ht="15" customHeight="1">
      <c r="A76" s="23"/>
      <c r="B76" s="24"/>
      <c r="C76" s="24"/>
      <c r="D76" s="24"/>
      <c r="E76" s="24"/>
      <c r="F76" s="559">
        <v>4</v>
      </c>
      <c r="G76" s="560"/>
      <c r="H76" s="131" t="s">
        <v>119</v>
      </c>
      <c r="I76" s="130"/>
      <c r="J76" s="130"/>
      <c r="K76" s="130"/>
      <c r="L76" s="130"/>
      <c r="M76" s="130"/>
      <c r="N76" s="130"/>
      <c r="O76" s="130"/>
      <c r="P76" s="206"/>
      <c r="Q76" s="207"/>
      <c r="R76" s="208" t="s">
        <v>55</v>
      </c>
      <c r="S76" s="127"/>
      <c r="T76" s="127"/>
      <c r="U76" s="127"/>
      <c r="V76" s="127"/>
      <c r="W76" s="209"/>
      <c r="X76" s="256" t="s">
        <v>122</v>
      </c>
      <c r="Y76" s="257"/>
      <c r="Z76" s="130"/>
      <c r="AA76" s="130"/>
      <c r="AB76" s="130"/>
      <c r="AC76" s="130"/>
      <c r="AD76" s="130"/>
      <c r="AE76" s="130"/>
      <c r="AF76" s="206"/>
      <c r="AG76" s="207"/>
      <c r="AH76" s="47" t="s">
        <v>133</v>
      </c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3"/>
      <c r="AX76" s="24"/>
      <c r="AY76" s="213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5"/>
    </row>
    <row r="77" spans="1:63" ht="15" customHeight="1">
      <c r="A77" s="23"/>
      <c r="B77" s="24"/>
      <c r="C77" s="24"/>
      <c r="D77" s="24"/>
      <c r="E77" s="24"/>
      <c r="F77" s="559">
        <v>5</v>
      </c>
      <c r="G77" s="560"/>
      <c r="H77" s="131" t="s">
        <v>119</v>
      </c>
      <c r="I77" s="130"/>
      <c r="J77" s="130"/>
      <c r="K77" s="130"/>
      <c r="L77" s="130"/>
      <c r="M77" s="130"/>
      <c r="N77" s="130"/>
      <c r="O77" s="130"/>
      <c r="P77" s="206"/>
      <c r="Q77" s="207"/>
      <c r="R77" s="208" t="s">
        <v>55</v>
      </c>
      <c r="S77" s="127"/>
      <c r="T77" s="127"/>
      <c r="U77" s="127"/>
      <c r="V77" s="127"/>
      <c r="W77" s="209"/>
      <c r="X77" s="137" t="s">
        <v>123</v>
      </c>
      <c r="Y77" s="140"/>
      <c r="Z77" s="130"/>
      <c r="AA77" s="130"/>
      <c r="AB77" s="130"/>
      <c r="AC77" s="130"/>
      <c r="AD77" s="130"/>
      <c r="AE77" s="130"/>
      <c r="AF77" s="206"/>
      <c r="AG77" s="207"/>
      <c r="AH77" s="47" t="s">
        <v>134</v>
      </c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3"/>
      <c r="AX77" s="24"/>
      <c r="AY77" s="213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5"/>
    </row>
    <row r="78" spans="1:63" ht="15" customHeight="1">
      <c r="A78" s="23"/>
      <c r="B78" s="24"/>
      <c r="C78" s="24"/>
      <c r="D78" s="24"/>
      <c r="E78" s="24"/>
      <c r="F78" s="559">
        <v>6</v>
      </c>
      <c r="G78" s="560"/>
      <c r="H78" s="131" t="s">
        <v>119</v>
      </c>
      <c r="I78" s="130"/>
      <c r="J78" s="130"/>
      <c r="K78" s="130"/>
      <c r="L78" s="130"/>
      <c r="M78" s="130"/>
      <c r="N78" s="130"/>
      <c r="O78" s="130"/>
      <c r="P78" s="206"/>
      <c r="Q78" s="207"/>
      <c r="R78" s="208" t="s">
        <v>55</v>
      </c>
      <c r="S78" s="127"/>
      <c r="T78" s="127"/>
      <c r="U78" s="127"/>
      <c r="V78" s="127"/>
      <c r="W78" s="209"/>
      <c r="X78" s="137" t="s">
        <v>124</v>
      </c>
      <c r="Y78" s="140"/>
      <c r="Z78" s="130"/>
      <c r="AA78" s="130"/>
      <c r="AB78" s="130"/>
      <c r="AC78" s="130"/>
      <c r="AD78" s="130"/>
      <c r="AE78" s="130"/>
      <c r="AF78" s="206"/>
      <c r="AG78" s="207"/>
      <c r="AH78" s="47" t="s">
        <v>135</v>
      </c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3"/>
      <c r="AX78" s="24"/>
      <c r="AY78" s="213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5"/>
    </row>
    <row r="79" spans="1:63" ht="15" customHeight="1">
      <c r="A79" s="23"/>
      <c r="B79" s="24"/>
      <c r="C79" s="24"/>
      <c r="D79" s="24"/>
      <c r="E79" s="24"/>
      <c r="F79" s="559">
        <v>7</v>
      </c>
      <c r="G79" s="560"/>
      <c r="H79" s="131" t="s">
        <v>119</v>
      </c>
      <c r="I79" s="130"/>
      <c r="J79" s="130"/>
      <c r="K79" s="130"/>
      <c r="L79" s="130"/>
      <c r="M79" s="130"/>
      <c r="N79" s="130"/>
      <c r="O79" s="130"/>
      <c r="P79" s="206"/>
      <c r="Q79" s="207"/>
      <c r="R79" s="208" t="s">
        <v>55</v>
      </c>
      <c r="S79" s="127"/>
      <c r="T79" s="127"/>
      <c r="U79" s="127"/>
      <c r="V79" s="127"/>
      <c r="W79" s="209"/>
      <c r="X79" s="137" t="s">
        <v>128</v>
      </c>
      <c r="Y79" s="140"/>
      <c r="Z79" s="130"/>
      <c r="AA79" s="130"/>
      <c r="AB79" s="130"/>
      <c r="AC79" s="130"/>
      <c r="AD79" s="130"/>
      <c r="AE79" s="130"/>
      <c r="AF79" s="206"/>
      <c r="AG79" s="207"/>
      <c r="AH79" s="47" t="s">
        <v>136</v>
      </c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3"/>
      <c r="AX79" s="24"/>
      <c r="AY79" s="213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5"/>
    </row>
    <row r="80" spans="1:63" ht="15" customHeight="1">
      <c r="A80" s="23"/>
      <c r="B80" s="24"/>
      <c r="C80" s="24"/>
      <c r="D80" s="24"/>
      <c r="E80" s="24"/>
      <c r="F80" s="562">
        <v>8</v>
      </c>
      <c r="G80" s="563"/>
      <c r="H80" s="260" t="s">
        <v>119</v>
      </c>
      <c r="I80" s="258"/>
      <c r="J80" s="258"/>
      <c r="K80" s="258"/>
      <c r="L80" s="258"/>
      <c r="M80" s="258"/>
      <c r="N80" s="258"/>
      <c r="O80" s="258"/>
      <c r="P80" s="258"/>
      <c r="Q80" s="261"/>
      <c r="R80" s="264" t="s">
        <v>55</v>
      </c>
      <c r="S80" s="265"/>
      <c r="T80" s="265"/>
      <c r="U80" s="265"/>
      <c r="V80" s="265"/>
      <c r="W80" s="266"/>
      <c r="X80" s="270" t="s">
        <v>129</v>
      </c>
      <c r="Y80" s="271"/>
      <c r="Z80" s="271"/>
      <c r="AA80" s="271"/>
      <c r="AB80" s="271"/>
      <c r="AC80" s="271"/>
      <c r="AD80" s="271"/>
      <c r="AE80" s="271"/>
      <c r="AF80" s="271"/>
      <c r="AG80" s="272"/>
      <c r="AH80" s="276" t="s">
        <v>137</v>
      </c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277"/>
      <c r="AU80" s="277"/>
      <c r="AV80" s="277"/>
      <c r="AW80" s="278"/>
      <c r="AX80" s="24"/>
      <c r="AY80" s="213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5"/>
    </row>
    <row r="81" spans="1:63" ht="15" customHeight="1">
      <c r="A81" s="23"/>
      <c r="B81" s="24"/>
      <c r="C81" s="24"/>
      <c r="D81" s="24"/>
      <c r="E81" s="24"/>
      <c r="F81" s="564"/>
      <c r="G81" s="565"/>
      <c r="H81" s="262"/>
      <c r="I81" s="259"/>
      <c r="J81" s="259"/>
      <c r="K81" s="259"/>
      <c r="L81" s="259"/>
      <c r="M81" s="259"/>
      <c r="N81" s="259"/>
      <c r="O81" s="259"/>
      <c r="P81" s="259"/>
      <c r="Q81" s="263"/>
      <c r="R81" s="267"/>
      <c r="S81" s="268"/>
      <c r="T81" s="268"/>
      <c r="U81" s="268"/>
      <c r="V81" s="268"/>
      <c r="W81" s="269"/>
      <c r="X81" s="273"/>
      <c r="Y81" s="274"/>
      <c r="Z81" s="274"/>
      <c r="AA81" s="274"/>
      <c r="AB81" s="274"/>
      <c r="AC81" s="274"/>
      <c r="AD81" s="274"/>
      <c r="AE81" s="274"/>
      <c r="AF81" s="274"/>
      <c r="AG81" s="275"/>
      <c r="AH81" s="210" t="s">
        <v>167</v>
      </c>
      <c r="AI81" s="211"/>
      <c r="AJ81" s="211"/>
      <c r="AK81" s="211"/>
      <c r="AL81" s="211"/>
      <c r="AM81" s="211"/>
      <c r="AN81" s="211"/>
      <c r="AO81" s="211"/>
      <c r="AP81" s="211"/>
      <c r="AQ81" s="211"/>
      <c r="AR81" s="211"/>
      <c r="AS81" s="211"/>
      <c r="AT81" s="211"/>
      <c r="AU81" s="211"/>
      <c r="AV81" s="211"/>
      <c r="AW81" s="212"/>
      <c r="AX81" s="24"/>
      <c r="AY81" s="213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5"/>
    </row>
    <row r="82" spans="1:63" ht="15" customHeight="1">
      <c r="A82" s="23"/>
      <c r="B82" s="24"/>
      <c r="C82" s="24"/>
      <c r="D82" s="24"/>
      <c r="E82" s="24"/>
      <c r="F82" s="194"/>
      <c r="G82" s="194"/>
      <c r="H82" s="145"/>
      <c r="I82" s="145"/>
      <c r="J82" s="145"/>
      <c r="K82" s="145"/>
      <c r="L82" s="145"/>
      <c r="M82" s="145"/>
      <c r="N82" s="145"/>
      <c r="O82" s="145"/>
      <c r="P82" s="195"/>
      <c r="Q82" s="195"/>
      <c r="R82" s="220"/>
      <c r="X82" s="51"/>
      <c r="Y82" s="51"/>
      <c r="Z82" s="145"/>
      <c r="AA82" s="145"/>
      <c r="AB82" s="145"/>
      <c r="AC82" s="145"/>
      <c r="AD82" s="145"/>
      <c r="AE82" s="145"/>
      <c r="AF82" s="195"/>
      <c r="AG82" s="195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5"/>
    </row>
    <row r="83" spans="1:63" ht="15" customHeight="1">
      <c r="A83" s="23"/>
      <c r="B83" s="24"/>
      <c r="C83" s="24"/>
      <c r="D83" s="24"/>
      <c r="E83" s="195" t="s">
        <v>148</v>
      </c>
      <c r="F83" s="195" t="s">
        <v>149</v>
      </c>
      <c r="G83" s="180"/>
      <c r="H83" s="180"/>
      <c r="I83" s="180"/>
      <c r="J83" s="180"/>
      <c r="K83" s="145"/>
      <c r="L83" s="145"/>
      <c r="M83" s="145"/>
      <c r="N83" s="145"/>
      <c r="O83" s="145"/>
      <c r="P83" s="195"/>
      <c r="Q83" s="195"/>
      <c r="R83" s="220"/>
      <c r="X83" s="51"/>
      <c r="Y83" s="51"/>
      <c r="Z83" s="145"/>
      <c r="AA83" s="145"/>
      <c r="AB83" s="145"/>
      <c r="AC83" s="145"/>
      <c r="AD83" s="145"/>
      <c r="AE83" s="145"/>
      <c r="AF83" s="195"/>
      <c r="AG83" s="195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5"/>
    </row>
    <row r="84" spans="1:63" ht="15" customHeight="1">
      <c r="A84" s="23"/>
      <c r="B84" s="24"/>
      <c r="C84" s="24"/>
      <c r="D84" s="24"/>
      <c r="E84" s="24"/>
      <c r="F84" s="181" t="s">
        <v>69</v>
      </c>
      <c r="G84" s="182"/>
      <c r="H84" s="221" t="s">
        <v>78</v>
      </c>
      <c r="I84" s="222"/>
      <c r="J84" s="222"/>
      <c r="K84" s="222"/>
      <c r="L84" s="222"/>
      <c r="M84" s="222"/>
      <c r="N84" s="222"/>
      <c r="O84" s="222"/>
      <c r="P84" s="222"/>
      <c r="Q84" s="223"/>
      <c r="R84" s="198" t="s">
        <v>80</v>
      </c>
      <c r="S84" s="222"/>
      <c r="T84" s="222"/>
      <c r="U84" s="222"/>
      <c r="V84" s="222"/>
      <c r="W84" s="222"/>
      <c r="X84" s="222"/>
      <c r="Y84" s="222"/>
      <c r="Z84" s="222"/>
      <c r="AA84" s="222"/>
      <c r="AB84" s="221" t="s">
        <v>150</v>
      </c>
      <c r="AC84" s="222"/>
      <c r="AD84" s="222"/>
      <c r="AE84" s="222"/>
      <c r="AF84" s="222"/>
      <c r="AG84" s="222"/>
      <c r="AH84" s="222"/>
      <c r="AI84" s="222"/>
      <c r="AJ84" s="222"/>
      <c r="AK84" s="222"/>
      <c r="AL84" s="222"/>
      <c r="AM84" s="222"/>
      <c r="AN84" s="222"/>
      <c r="AO84" s="222"/>
      <c r="AP84" s="222"/>
      <c r="AQ84" s="222"/>
      <c r="AR84" s="222"/>
      <c r="AS84" s="222"/>
      <c r="AT84" s="222"/>
      <c r="AU84" s="222"/>
      <c r="AV84" s="222"/>
      <c r="AW84" s="222"/>
      <c r="AX84" s="222"/>
      <c r="AY84" s="222"/>
      <c r="AZ84" s="222"/>
      <c r="BA84" s="222"/>
      <c r="BB84" s="223"/>
      <c r="BC84" s="24"/>
      <c r="BD84" s="24"/>
      <c r="BE84" s="24"/>
      <c r="BF84" s="24"/>
      <c r="BG84" s="24"/>
      <c r="BH84" s="24"/>
      <c r="BI84" s="24"/>
      <c r="BJ84" s="24"/>
      <c r="BK84" s="25"/>
    </row>
    <row r="85" spans="1:63" ht="15" customHeight="1">
      <c r="A85" s="23"/>
      <c r="B85" s="24"/>
      <c r="C85" s="24"/>
      <c r="D85" s="24"/>
      <c r="E85" s="24"/>
      <c r="F85" s="190">
        <v>1</v>
      </c>
      <c r="G85" s="187"/>
      <c r="H85" s="131" t="s">
        <v>119</v>
      </c>
      <c r="I85" s="206"/>
      <c r="J85" s="206"/>
      <c r="K85" s="206"/>
      <c r="L85" s="206"/>
      <c r="M85" s="206"/>
      <c r="N85" s="206"/>
      <c r="O85" s="206"/>
      <c r="P85" s="206"/>
      <c r="Q85" s="207"/>
      <c r="R85" s="137" t="s">
        <v>120</v>
      </c>
      <c r="S85" s="206"/>
      <c r="T85" s="206"/>
      <c r="U85" s="206"/>
      <c r="V85" s="206"/>
      <c r="W85" s="206"/>
      <c r="X85" s="206"/>
      <c r="Y85" s="206"/>
      <c r="Z85" s="206"/>
      <c r="AA85" s="206"/>
      <c r="AB85" s="81" t="s">
        <v>151</v>
      </c>
      <c r="AC85" s="206"/>
      <c r="AD85" s="206"/>
      <c r="AE85" s="206"/>
      <c r="AF85" s="206"/>
      <c r="AG85" s="206"/>
      <c r="AH85" s="206"/>
      <c r="AI85" s="206"/>
      <c r="AJ85" s="206"/>
      <c r="AK85" s="206"/>
      <c r="AL85" s="206"/>
      <c r="AM85" s="206"/>
      <c r="AN85" s="206"/>
      <c r="AO85" s="206"/>
      <c r="AP85" s="206"/>
      <c r="AQ85" s="206"/>
      <c r="AR85" s="206"/>
      <c r="AS85" s="206"/>
      <c r="AT85" s="206"/>
      <c r="AU85" s="206"/>
      <c r="AV85" s="206"/>
      <c r="AW85" s="206"/>
      <c r="AX85" s="206"/>
      <c r="AY85" s="206"/>
      <c r="AZ85" s="206"/>
      <c r="BA85" s="206"/>
      <c r="BB85" s="207"/>
      <c r="BC85" s="24"/>
      <c r="BD85" s="24"/>
      <c r="BE85" s="24"/>
      <c r="BF85" s="24"/>
      <c r="BG85" s="24"/>
      <c r="BH85" s="24"/>
      <c r="BI85" s="24"/>
      <c r="BJ85" s="24"/>
      <c r="BK85" s="25"/>
    </row>
    <row r="86" spans="1:63" ht="15" customHeight="1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5"/>
    </row>
    <row r="87" spans="1:63" ht="15" customHeight="1">
      <c r="A87" s="23"/>
      <c r="B87" s="24"/>
      <c r="C87" s="160" t="s">
        <v>152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5"/>
    </row>
    <row r="88" spans="1:63" ht="15" customHeight="1">
      <c r="A88" s="23"/>
      <c r="B88" s="159"/>
      <c r="C88" s="160"/>
      <c r="D88" s="24" t="s">
        <v>172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179"/>
      <c r="V88" s="117"/>
      <c r="W88" s="117"/>
      <c r="X88" s="117"/>
      <c r="Y88" s="117"/>
      <c r="Z88" s="117"/>
      <c r="AA88" s="248"/>
      <c r="AB88" s="117"/>
      <c r="AC88" s="117"/>
      <c r="AD88" s="117"/>
      <c r="AE88" s="117"/>
      <c r="AF88" s="117"/>
      <c r="AG88" s="117"/>
      <c r="AH88" s="117"/>
      <c r="AI88" s="117"/>
      <c r="AJ88" s="117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5"/>
    </row>
    <row r="89" spans="1:63" ht="15" customHeight="1">
      <c r="A89" s="23"/>
      <c r="B89" s="24"/>
      <c r="C89" s="24"/>
      <c r="D89" s="180" t="s">
        <v>68</v>
      </c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80"/>
      <c r="AN89" s="180"/>
      <c r="AO89" s="180"/>
      <c r="AP89" s="180"/>
      <c r="AQ89" s="180"/>
      <c r="AR89" s="180"/>
      <c r="AS89" s="180"/>
      <c r="AT89" s="180"/>
      <c r="AU89" s="180"/>
      <c r="AV89" s="180"/>
      <c r="AW89" s="180"/>
      <c r="AX89" s="180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5"/>
    </row>
    <row r="90" spans="1:63" ht="15" customHeight="1">
      <c r="A90" s="23"/>
      <c r="B90" s="24"/>
      <c r="C90" s="24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80"/>
      <c r="AN90" s="180"/>
      <c r="AO90" s="180"/>
      <c r="AP90" s="180"/>
      <c r="AQ90" s="180"/>
      <c r="AR90" s="180"/>
      <c r="AS90" s="180"/>
      <c r="AT90" s="180"/>
      <c r="AU90" s="180"/>
      <c r="AV90" s="180"/>
      <c r="AW90" s="180"/>
      <c r="AX90" s="180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5"/>
    </row>
    <row r="91" spans="1:63" ht="15" customHeight="1">
      <c r="A91" s="23"/>
      <c r="B91" s="24"/>
      <c r="C91" s="24"/>
      <c r="D91" s="180"/>
      <c r="E91" s="180"/>
      <c r="F91" s="181" t="s">
        <v>69</v>
      </c>
      <c r="G91" s="182"/>
      <c r="H91" s="181" t="s">
        <v>70</v>
      </c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2"/>
      <c r="X91" s="181" t="s">
        <v>71</v>
      </c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4"/>
      <c r="AN91" s="185" t="s">
        <v>72</v>
      </c>
      <c r="AO91" s="183"/>
      <c r="AP91" s="182"/>
      <c r="AQ91" s="181" t="s">
        <v>73</v>
      </c>
      <c r="AR91" s="183"/>
      <c r="AS91" s="182"/>
      <c r="AT91" s="181" t="s">
        <v>74</v>
      </c>
      <c r="AU91" s="183"/>
      <c r="AV91" s="182"/>
      <c r="AW91" s="181" t="s">
        <v>75</v>
      </c>
      <c r="AX91" s="182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5"/>
    </row>
    <row r="92" spans="1:63" ht="15" customHeight="1">
      <c r="A92" s="23"/>
      <c r="B92" s="24"/>
      <c r="C92" s="24"/>
      <c r="D92" s="180"/>
      <c r="E92" s="180"/>
      <c r="F92" s="186">
        <v>1</v>
      </c>
      <c r="G92" s="187"/>
      <c r="H92" s="556" t="s">
        <v>168</v>
      </c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 t="s">
        <v>125</v>
      </c>
      <c r="Y92" s="556"/>
      <c r="Z92" s="556"/>
      <c r="AA92" s="556"/>
      <c r="AB92" s="556"/>
      <c r="AC92" s="556"/>
      <c r="AD92" s="556"/>
      <c r="AE92" s="556"/>
      <c r="AF92" s="556"/>
      <c r="AG92" s="556"/>
      <c r="AH92" s="556"/>
      <c r="AI92" s="556"/>
      <c r="AJ92" s="556"/>
      <c r="AK92" s="556"/>
      <c r="AL92" s="556"/>
      <c r="AM92" s="556"/>
      <c r="AN92" s="188"/>
      <c r="AO92" s="189"/>
      <c r="AP92" s="187"/>
      <c r="AQ92" s="190"/>
      <c r="AR92" s="189"/>
      <c r="AS92" s="187"/>
      <c r="AT92" s="190"/>
      <c r="AU92" s="189"/>
      <c r="AV92" s="187"/>
      <c r="AW92" s="190" t="s">
        <v>76</v>
      </c>
      <c r="AX92" s="187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5"/>
    </row>
    <row r="93" spans="1:63" ht="15" customHeight="1">
      <c r="A93" s="23"/>
      <c r="B93" s="24"/>
      <c r="C93" s="24"/>
      <c r="D93" s="180"/>
      <c r="E93" s="180"/>
      <c r="F93" s="191"/>
      <c r="G93" s="192"/>
      <c r="H93" s="193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93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92"/>
      <c r="AO93" s="194"/>
      <c r="AP93" s="192"/>
      <c r="AQ93" s="192"/>
      <c r="AR93" s="194"/>
      <c r="AS93" s="192"/>
      <c r="AT93" s="192"/>
      <c r="AU93" s="194"/>
      <c r="AV93" s="192"/>
      <c r="AW93" s="192"/>
      <c r="AX93" s="192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5"/>
    </row>
    <row r="94" spans="1:63" ht="15" customHeight="1">
      <c r="A94" s="23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5"/>
    </row>
    <row r="95" spans="1:63" ht="15" customHeight="1">
      <c r="A95" s="23"/>
      <c r="B95" s="24"/>
      <c r="C95" s="24"/>
      <c r="D95" s="119" t="s">
        <v>77</v>
      </c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5"/>
    </row>
    <row r="96" spans="1:63" ht="15" customHeight="1">
      <c r="A96" s="23"/>
      <c r="B96" s="24"/>
      <c r="C96" s="24"/>
      <c r="D96" s="24"/>
      <c r="E96" s="195" t="s">
        <v>81</v>
      </c>
      <c r="F96" s="195" t="s">
        <v>169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5"/>
    </row>
    <row r="97" spans="1:63" ht="15" customHeight="1">
      <c r="A97" s="23"/>
      <c r="B97" s="24"/>
      <c r="C97" s="24"/>
      <c r="D97" s="24"/>
      <c r="E97" s="181" t="s">
        <v>69</v>
      </c>
      <c r="F97" s="182"/>
      <c r="G97" s="221" t="s">
        <v>78</v>
      </c>
      <c r="H97" s="222"/>
      <c r="I97" s="222"/>
      <c r="J97" s="222"/>
      <c r="K97" s="222"/>
      <c r="L97" s="222"/>
      <c r="M97" s="222"/>
      <c r="N97" s="222"/>
      <c r="O97" s="222"/>
      <c r="P97" s="223"/>
      <c r="Q97" s="222" t="s">
        <v>170</v>
      </c>
      <c r="R97" s="222"/>
      <c r="S97" s="222"/>
      <c r="T97" s="222"/>
      <c r="U97" s="222"/>
      <c r="V97" s="222"/>
      <c r="W97" s="222"/>
      <c r="X97" s="222"/>
      <c r="Y97" s="222"/>
      <c r="Z97" s="222"/>
      <c r="AA97" s="221" t="s">
        <v>57</v>
      </c>
      <c r="AB97" s="222"/>
      <c r="AC97" s="222"/>
      <c r="AD97" s="222"/>
      <c r="AE97" s="222"/>
      <c r="AF97" s="280"/>
      <c r="AG97" s="280"/>
      <c r="AH97" s="280"/>
      <c r="AI97" s="280"/>
      <c r="AJ97" s="280"/>
      <c r="AK97" s="280"/>
      <c r="AL97" s="280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3"/>
      <c r="BB97" s="24"/>
      <c r="BC97" s="24"/>
      <c r="BD97" s="24"/>
      <c r="BE97" s="24"/>
      <c r="BF97" s="24"/>
      <c r="BG97" s="24"/>
      <c r="BH97" s="24"/>
      <c r="BI97" s="24"/>
      <c r="BJ97" s="24"/>
      <c r="BK97" s="25"/>
    </row>
    <row r="98" spans="1:63" ht="15" customHeight="1">
      <c r="A98" s="23"/>
      <c r="B98" s="24"/>
      <c r="C98" s="24"/>
      <c r="D98" s="24"/>
      <c r="E98" s="190">
        <v>1</v>
      </c>
      <c r="F98" s="187"/>
      <c r="G98" s="281" t="s">
        <v>125</v>
      </c>
      <c r="H98" s="206"/>
      <c r="I98" s="206"/>
      <c r="J98" s="206"/>
      <c r="K98" s="206"/>
      <c r="L98" s="206"/>
      <c r="M98" s="206"/>
      <c r="N98" s="206"/>
      <c r="O98" s="206"/>
      <c r="P98" s="207"/>
      <c r="Q98" s="131" t="s">
        <v>120</v>
      </c>
      <c r="R98" s="206"/>
      <c r="S98" s="206"/>
      <c r="T98" s="206"/>
      <c r="U98" s="206"/>
      <c r="V98" s="206"/>
      <c r="W98" s="206"/>
      <c r="X98" s="206"/>
      <c r="Y98" s="206"/>
      <c r="Z98" s="206"/>
      <c r="AA98" s="131" t="s">
        <v>171</v>
      </c>
      <c r="AB98" s="206"/>
      <c r="AC98" s="206"/>
      <c r="AD98" s="206"/>
      <c r="AE98" s="206"/>
      <c r="AF98" s="282"/>
      <c r="AG98" s="282"/>
      <c r="AH98" s="282"/>
      <c r="AI98" s="282"/>
      <c r="AJ98" s="282"/>
      <c r="AK98" s="282"/>
      <c r="AL98" s="282"/>
      <c r="AM98" s="206"/>
      <c r="AN98" s="206"/>
      <c r="AO98" s="206"/>
      <c r="AP98" s="206"/>
      <c r="AQ98" s="206"/>
      <c r="AR98" s="206"/>
      <c r="AS98" s="206"/>
      <c r="AT98" s="206"/>
      <c r="AU98" s="206"/>
      <c r="AV98" s="206"/>
      <c r="AW98" s="206"/>
      <c r="AX98" s="206"/>
      <c r="AY98" s="206"/>
      <c r="AZ98" s="206"/>
      <c r="BA98" s="207"/>
      <c r="BB98" s="24"/>
      <c r="BC98" s="24"/>
      <c r="BD98" s="24"/>
      <c r="BE98" s="24"/>
      <c r="BF98" s="24"/>
      <c r="BG98" s="24"/>
      <c r="BH98" s="24"/>
      <c r="BI98" s="24"/>
      <c r="BJ98" s="24"/>
      <c r="BK98" s="25"/>
    </row>
    <row r="99" spans="1:63" ht="15" customHeight="1">
      <c r="A99" s="23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5"/>
    </row>
    <row r="100" spans="1:63" ht="15" customHeight="1">
      <c r="A100" s="23"/>
      <c r="B100" s="24"/>
      <c r="C100" s="24"/>
      <c r="D100" s="24" t="s">
        <v>173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5"/>
    </row>
    <row r="101" spans="1:63" ht="15" customHeight="1">
      <c r="A101" s="23"/>
      <c r="B101" s="24"/>
      <c r="C101" s="24"/>
      <c r="D101" s="180" t="s">
        <v>68</v>
      </c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  <c r="AM101" s="180"/>
      <c r="AN101" s="180"/>
      <c r="AO101" s="180"/>
      <c r="AP101" s="180"/>
      <c r="AQ101" s="180"/>
      <c r="AR101" s="180"/>
      <c r="AS101" s="180"/>
      <c r="AT101" s="180"/>
      <c r="AU101" s="180"/>
      <c r="AV101" s="180"/>
      <c r="AW101" s="180"/>
      <c r="AX101" s="180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5"/>
    </row>
    <row r="102" spans="1:63" ht="15" customHeight="1">
      <c r="A102" s="23"/>
      <c r="B102" s="24"/>
      <c r="C102" s="24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5"/>
    </row>
    <row r="103" spans="1:63" ht="15" customHeight="1">
      <c r="A103" s="23"/>
      <c r="B103" s="24"/>
      <c r="C103" s="24"/>
      <c r="D103" s="180"/>
      <c r="E103" s="180"/>
      <c r="F103" s="181" t="s">
        <v>69</v>
      </c>
      <c r="G103" s="182"/>
      <c r="H103" s="181" t="s">
        <v>70</v>
      </c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2"/>
      <c r="X103" s="181" t="s">
        <v>71</v>
      </c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4"/>
      <c r="AN103" s="185" t="s">
        <v>72</v>
      </c>
      <c r="AO103" s="183"/>
      <c r="AP103" s="182"/>
      <c r="AQ103" s="181" t="s">
        <v>73</v>
      </c>
      <c r="AR103" s="183"/>
      <c r="AS103" s="182"/>
      <c r="AT103" s="181" t="s">
        <v>74</v>
      </c>
      <c r="AU103" s="183"/>
      <c r="AV103" s="182"/>
      <c r="AW103" s="181" t="s">
        <v>75</v>
      </c>
      <c r="AX103" s="182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5"/>
    </row>
    <row r="104" spans="1:63" ht="15" customHeight="1">
      <c r="A104" s="23"/>
      <c r="B104" s="24"/>
      <c r="C104" s="24"/>
      <c r="D104" s="180"/>
      <c r="E104" s="180"/>
      <c r="F104" s="186">
        <v>1</v>
      </c>
      <c r="G104" s="187"/>
      <c r="H104" s="556" t="s">
        <v>138</v>
      </c>
      <c r="I104" s="557"/>
      <c r="J104" s="557"/>
      <c r="K104" s="557"/>
      <c r="L104" s="557"/>
      <c r="M104" s="557"/>
      <c r="N104" s="557"/>
      <c r="O104" s="557"/>
      <c r="P104" s="557"/>
      <c r="Q104" s="557"/>
      <c r="R104" s="557"/>
      <c r="S104" s="557"/>
      <c r="T104" s="557"/>
      <c r="U104" s="557"/>
      <c r="V104" s="557"/>
      <c r="W104" s="561"/>
      <c r="X104" s="556" t="s">
        <v>125</v>
      </c>
      <c r="Y104" s="557"/>
      <c r="Z104" s="557"/>
      <c r="AA104" s="557"/>
      <c r="AB104" s="557"/>
      <c r="AC104" s="557"/>
      <c r="AD104" s="557"/>
      <c r="AE104" s="557"/>
      <c r="AF104" s="557"/>
      <c r="AG104" s="557"/>
      <c r="AH104" s="557"/>
      <c r="AI104" s="557"/>
      <c r="AJ104" s="557"/>
      <c r="AK104" s="557"/>
      <c r="AL104" s="557"/>
      <c r="AM104" s="558"/>
      <c r="AN104" s="188"/>
      <c r="AO104" s="189" t="s">
        <v>76</v>
      </c>
      <c r="AP104" s="187"/>
      <c r="AQ104" s="190"/>
      <c r="AR104" s="127"/>
      <c r="AS104" s="187"/>
      <c r="AT104" s="190"/>
      <c r="AU104" s="127"/>
      <c r="AV104" s="187"/>
      <c r="AW104" s="190"/>
      <c r="AX104" s="187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5"/>
    </row>
    <row r="105" spans="1:63" ht="15" customHeight="1">
      <c r="A105" s="23"/>
      <c r="B105" s="24"/>
      <c r="C105" s="24"/>
      <c r="D105" s="180"/>
      <c r="E105" s="180"/>
      <c r="F105" s="191"/>
      <c r="G105" s="192"/>
      <c r="H105" s="193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93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92"/>
      <c r="AO105" s="194"/>
      <c r="AP105" s="192"/>
      <c r="AQ105" s="192"/>
      <c r="AR105" s="194"/>
      <c r="AS105" s="192"/>
      <c r="AT105" s="192"/>
      <c r="AU105" s="194"/>
      <c r="AV105" s="192"/>
      <c r="AW105" s="192"/>
      <c r="AX105" s="192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5"/>
    </row>
    <row r="106" spans="1:63" ht="15" customHeight="1">
      <c r="A106" s="23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5"/>
    </row>
    <row r="107" spans="1:63" ht="15" customHeight="1">
      <c r="A107" s="23"/>
      <c r="B107" s="24"/>
      <c r="C107" s="24"/>
      <c r="D107" s="119" t="s">
        <v>77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5"/>
    </row>
    <row r="108" spans="1:63" ht="15" customHeight="1">
      <c r="A108" s="23"/>
      <c r="B108" s="24"/>
      <c r="C108" s="24"/>
      <c r="D108" s="24"/>
      <c r="E108" s="195" t="s">
        <v>81</v>
      </c>
      <c r="F108" s="195" t="s">
        <v>153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5"/>
    </row>
    <row r="109" spans="1:63" ht="15" customHeight="1">
      <c r="A109" s="23"/>
      <c r="B109" s="24"/>
      <c r="C109" s="24"/>
      <c r="D109" s="24"/>
      <c r="E109" s="24"/>
      <c r="F109" s="196" t="s">
        <v>69</v>
      </c>
      <c r="G109" s="197"/>
      <c r="H109" s="198" t="s">
        <v>78</v>
      </c>
      <c r="I109" s="197"/>
      <c r="J109" s="197"/>
      <c r="K109" s="197"/>
      <c r="L109" s="197"/>
      <c r="M109" s="197"/>
      <c r="N109" s="197"/>
      <c r="O109" s="197"/>
      <c r="P109" s="199"/>
      <c r="Q109" s="200"/>
      <c r="R109" s="201" t="s">
        <v>79</v>
      </c>
      <c r="S109" s="202"/>
      <c r="T109" s="202"/>
      <c r="U109" s="202"/>
      <c r="V109" s="202"/>
      <c r="W109" s="203"/>
      <c r="X109" s="198" t="s">
        <v>80</v>
      </c>
      <c r="Y109" s="197"/>
      <c r="Z109" s="197"/>
      <c r="AA109" s="197"/>
      <c r="AB109" s="197"/>
      <c r="AC109" s="197"/>
      <c r="AD109" s="197"/>
      <c r="AE109" s="197"/>
      <c r="AF109" s="199"/>
      <c r="AG109" s="200"/>
      <c r="AH109" s="204" t="s">
        <v>57</v>
      </c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5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5"/>
    </row>
    <row r="110" spans="1:63" ht="15" customHeight="1">
      <c r="A110" s="23"/>
      <c r="B110" s="24"/>
      <c r="C110" s="24"/>
      <c r="D110" s="24"/>
      <c r="E110" s="24"/>
      <c r="F110" s="559">
        <v>1</v>
      </c>
      <c r="G110" s="560"/>
      <c r="H110" s="219" t="s">
        <v>125</v>
      </c>
      <c r="I110" s="130"/>
      <c r="J110" s="130"/>
      <c r="K110" s="130"/>
      <c r="L110" s="130"/>
      <c r="M110" s="130"/>
      <c r="N110" s="130"/>
      <c r="O110" s="130"/>
      <c r="P110" s="206"/>
      <c r="Q110" s="207"/>
      <c r="R110" s="208" t="s">
        <v>55</v>
      </c>
      <c r="S110" s="127"/>
      <c r="T110" s="127"/>
      <c r="U110" s="127"/>
      <c r="V110" s="127"/>
      <c r="W110" s="209"/>
      <c r="X110" s="137" t="s">
        <v>174</v>
      </c>
      <c r="Y110" s="140"/>
      <c r="Z110" s="130"/>
      <c r="AA110" s="130"/>
      <c r="AB110" s="130"/>
      <c r="AC110" s="130"/>
      <c r="AD110" s="130"/>
      <c r="AE110" s="130"/>
      <c r="AF110" s="206"/>
      <c r="AG110" s="207"/>
      <c r="AH110" s="47" t="s">
        <v>175</v>
      </c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3"/>
      <c r="AX110" s="213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5"/>
    </row>
    <row r="111" spans="1:63" ht="15" customHeight="1">
      <c r="A111" s="23"/>
      <c r="B111" s="24"/>
      <c r="C111" s="24"/>
      <c r="D111" s="24"/>
      <c r="E111" s="24"/>
      <c r="F111" s="559">
        <v>2</v>
      </c>
      <c r="G111" s="560"/>
      <c r="H111" s="219" t="s">
        <v>125</v>
      </c>
      <c r="I111" s="130"/>
      <c r="J111" s="130"/>
      <c r="K111" s="130"/>
      <c r="L111" s="130"/>
      <c r="M111" s="130"/>
      <c r="N111" s="130"/>
      <c r="O111" s="130"/>
      <c r="P111" s="206"/>
      <c r="Q111" s="207"/>
      <c r="R111" s="208" t="s">
        <v>55</v>
      </c>
      <c r="S111" s="127"/>
      <c r="T111" s="127"/>
      <c r="U111" s="127"/>
      <c r="V111" s="127"/>
      <c r="W111" s="209"/>
      <c r="X111" s="170" t="s">
        <v>120</v>
      </c>
      <c r="Y111" s="79"/>
      <c r="Z111" s="130"/>
      <c r="AA111" s="130"/>
      <c r="AB111" s="130"/>
      <c r="AC111" s="130"/>
      <c r="AD111" s="130"/>
      <c r="AE111" s="130"/>
      <c r="AF111" s="206"/>
      <c r="AG111" s="207"/>
      <c r="AH111" s="47" t="s">
        <v>177</v>
      </c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3"/>
      <c r="AX111" s="213"/>
      <c r="AY111" s="240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5"/>
    </row>
    <row r="112" spans="1:63" ht="15" customHeight="1">
      <c r="A112" s="23"/>
      <c r="B112" s="24"/>
      <c r="C112" s="24"/>
      <c r="D112" s="24"/>
      <c r="E112" s="24"/>
      <c r="F112" s="559">
        <v>3</v>
      </c>
      <c r="G112" s="560"/>
      <c r="H112" s="219" t="s">
        <v>125</v>
      </c>
      <c r="I112" s="130"/>
      <c r="J112" s="130"/>
      <c r="K112" s="130"/>
      <c r="L112" s="130"/>
      <c r="M112" s="130"/>
      <c r="N112" s="130"/>
      <c r="O112" s="130"/>
      <c r="P112" s="206"/>
      <c r="Q112" s="207"/>
      <c r="R112" s="208" t="s">
        <v>55</v>
      </c>
      <c r="S112" s="127"/>
      <c r="T112" s="127"/>
      <c r="U112" s="127"/>
      <c r="V112" s="127"/>
      <c r="W112" s="209"/>
      <c r="X112" s="170" t="s">
        <v>126</v>
      </c>
      <c r="Y112" s="79"/>
      <c r="Z112" s="279"/>
      <c r="AA112" s="130"/>
      <c r="AB112" s="130"/>
      <c r="AC112" s="130"/>
      <c r="AD112" s="130"/>
      <c r="AE112" s="130"/>
      <c r="AF112" s="206"/>
      <c r="AG112" s="207"/>
      <c r="AH112" s="47" t="s">
        <v>176</v>
      </c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3"/>
      <c r="AX112" s="213"/>
      <c r="AY112" s="240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5"/>
    </row>
    <row r="113" spans="1:63" ht="15" customHeight="1">
      <c r="A113" s="23"/>
      <c r="B113" s="24"/>
      <c r="C113" s="24"/>
      <c r="D113" s="24"/>
      <c r="E113" s="24"/>
      <c r="F113" s="559">
        <v>4</v>
      </c>
      <c r="G113" s="560"/>
      <c r="H113" s="219" t="s">
        <v>125</v>
      </c>
      <c r="I113" s="130"/>
      <c r="J113" s="130"/>
      <c r="K113" s="130"/>
      <c r="L113" s="130"/>
      <c r="M113" s="130"/>
      <c r="N113" s="130"/>
      <c r="O113" s="130"/>
      <c r="P113" s="206"/>
      <c r="Q113" s="207"/>
      <c r="R113" s="208" t="s">
        <v>55</v>
      </c>
      <c r="S113" s="127"/>
      <c r="T113" s="127"/>
      <c r="U113" s="127"/>
      <c r="V113" s="127"/>
      <c r="W113" s="209"/>
      <c r="X113" s="170" t="s">
        <v>139</v>
      </c>
      <c r="Y113" s="79"/>
      <c r="Z113" s="279"/>
      <c r="AA113" s="130"/>
      <c r="AB113" s="130"/>
      <c r="AC113" s="130"/>
      <c r="AD113" s="130"/>
      <c r="AE113" s="130"/>
      <c r="AF113" s="206"/>
      <c r="AG113" s="207"/>
      <c r="AH113" s="47" t="s">
        <v>189</v>
      </c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3"/>
      <c r="AX113" s="213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5"/>
    </row>
    <row r="114" spans="1:63" ht="15" customHeight="1">
      <c r="A114" s="23"/>
      <c r="B114" s="24"/>
      <c r="C114" s="24"/>
      <c r="D114" s="24"/>
      <c r="E114" s="24"/>
      <c r="F114" s="559">
        <v>5</v>
      </c>
      <c r="G114" s="560"/>
      <c r="H114" s="219" t="s">
        <v>125</v>
      </c>
      <c r="I114" s="130"/>
      <c r="J114" s="130"/>
      <c r="K114" s="130"/>
      <c r="L114" s="130"/>
      <c r="M114" s="130"/>
      <c r="N114" s="130"/>
      <c r="O114" s="130"/>
      <c r="P114" s="206"/>
      <c r="Q114" s="207"/>
      <c r="R114" s="208" t="s">
        <v>55</v>
      </c>
      <c r="S114" s="127"/>
      <c r="T114" s="127"/>
      <c r="U114" s="127"/>
      <c r="V114" s="127"/>
      <c r="W114" s="209"/>
      <c r="X114" s="170" t="s">
        <v>86</v>
      </c>
      <c r="Y114" s="79"/>
      <c r="Z114" s="130"/>
      <c r="AA114" s="130"/>
      <c r="AB114" s="130"/>
      <c r="AC114" s="130"/>
      <c r="AD114" s="130"/>
      <c r="AE114" s="130"/>
      <c r="AF114" s="206"/>
      <c r="AG114" s="207"/>
      <c r="AH114" s="47" t="s">
        <v>190</v>
      </c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3"/>
      <c r="AX114" s="213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5"/>
    </row>
    <row r="115" spans="1:63" ht="15" customHeight="1">
      <c r="A115" s="23"/>
      <c r="B115" s="24"/>
      <c r="C115" s="24"/>
      <c r="D115" s="24"/>
      <c r="E115" s="24"/>
      <c r="F115" s="559">
        <v>7</v>
      </c>
      <c r="G115" s="560"/>
      <c r="H115" s="219" t="s">
        <v>125</v>
      </c>
      <c r="I115" s="130"/>
      <c r="J115" s="130"/>
      <c r="K115" s="130"/>
      <c r="L115" s="130"/>
      <c r="M115" s="130"/>
      <c r="N115" s="130"/>
      <c r="O115" s="130"/>
      <c r="P115" s="206"/>
      <c r="Q115" s="207"/>
      <c r="R115" s="208" t="s">
        <v>55</v>
      </c>
      <c r="S115" s="127"/>
      <c r="T115" s="127"/>
      <c r="U115" s="127"/>
      <c r="V115" s="127"/>
      <c r="W115" s="209"/>
      <c r="X115" s="170" t="s">
        <v>87</v>
      </c>
      <c r="Y115" s="79"/>
      <c r="Z115" s="279"/>
      <c r="AA115" s="130"/>
      <c r="AB115" s="130"/>
      <c r="AC115" s="130"/>
      <c r="AD115" s="130"/>
      <c r="AE115" s="130"/>
      <c r="AF115" s="206"/>
      <c r="AG115" s="207"/>
      <c r="AH115" s="47" t="s">
        <v>191</v>
      </c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3"/>
      <c r="AX115" s="213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5"/>
    </row>
    <row r="116" spans="1:63" ht="15" customHeight="1">
      <c r="A116" s="23"/>
      <c r="B116" s="24"/>
      <c r="C116" s="24"/>
      <c r="D116" s="24"/>
      <c r="E116" s="24"/>
      <c r="F116" s="194"/>
      <c r="G116" s="194"/>
      <c r="H116" s="224"/>
      <c r="I116" s="145"/>
      <c r="J116" s="145"/>
      <c r="K116" s="145"/>
      <c r="L116" s="145"/>
      <c r="M116" s="145"/>
      <c r="N116" s="145"/>
      <c r="O116" s="145"/>
      <c r="P116" s="195"/>
      <c r="Q116" s="195"/>
      <c r="R116" s="220"/>
      <c r="X116" s="51"/>
      <c r="Y116" s="51"/>
      <c r="Z116" s="145"/>
      <c r="AA116" s="145"/>
      <c r="AB116" s="145"/>
      <c r="AC116" s="145"/>
      <c r="AD116" s="145"/>
      <c r="AE116" s="145"/>
      <c r="AF116" s="195"/>
      <c r="AG116" s="195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5"/>
    </row>
    <row r="117" spans="1:63" ht="15" customHeight="1">
      <c r="A117" s="24"/>
      <c r="B117" s="24"/>
      <c r="C117" s="160" t="s">
        <v>162</v>
      </c>
      <c r="D117" s="249"/>
      <c r="E117" s="249"/>
      <c r="F117" s="249"/>
      <c r="G117" s="249"/>
      <c r="H117" s="249"/>
      <c r="I117" s="249"/>
      <c r="J117" s="249"/>
      <c r="K117" s="249"/>
      <c r="L117" s="249"/>
      <c r="M117" s="24"/>
      <c r="N117" s="24"/>
      <c r="O117" s="24"/>
      <c r="P117" s="24"/>
      <c r="Q117" s="24"/>
      <c r="R117" s="24"/>
      <c r="S117" s="24"/>
      <c r="T117" s="24"/>
      <c r="U117" s="24"/>
      <c r="X117" s="51"/>
      <c r="Y117" s="51"/>
      <c r="Z117" s="145"/>
      <c r="AA117" s="145"/>
      <c r="AB117" s="145"/>
      <c r="AC117" s="145"/>
      <c r="AD117" s="145"/>
      <c r="AE117" s="145"/>
      <c r="AF117" s="195"/>
      <c r="AG117" s="195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5"/>
    </row>
    <row r="118" spans="1:63" ht="15" customHeight="1">
      <c r="A118" s="24"/>
      <c r="B118" s="24"/>
      <c r="C118" s="160" t="s">
        <v>188</v>
      </c>
      <c r="D118" s="249"/>
      <c r="E118" s="249"/>
      <c r="F118" s="249"/>
      <c r="G118" s="249"/>
      <c r="H118" s="249"/>
      <c r="I118" s="249"/>
      <c r="J118" s="249"/>
      <c r="K118" s="249"/>
      <c r="L118" s="249"/>
      <c r="M118" s="24"/>
      <c r="N118" s="24"/>
      <c r="O118" s="24"/>
      <c r="P118" s="24"/>
      <c r="Q118" s="24"/>
      <c r="R118" s="24"/>
      <c r="S118" s="24"/>
      <c r="T118" s="24"/>
      <c r="U118" s="24"/>
      <c r="X118" s="51"/>
      <c r="Y118" s="51"/>
      <c r="Z118" s="145"/>
      <c r="AA118" s="145"/>
      <c r="AB118" s="145"/>
      <c r="AC118" s="145"/>
      <c r="AD118" s="145"/>
      <c r="AE118" s="145"/>
      <c r="AF118" s="195"/>
      <c r="AG118" s="195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5"/>
    </row>
    <row r="119" spans="1:63" ht="15" customHeight="1">
      <c r="A119" s="23"/>
      <c r="B119" s="159"/>
      <c r="C119" s="160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5"/>
    </row>
    <row r="120" spans="1:63" ht="15" customHeight="1">
      <c r="A120" s="23"/>
      <c r="B120" s="24"/>
      <c r="C120" s="160" t="s">
        <v>141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5"/>
    </row>
    <row r="121" spans="1:63" ht="15" customHeight="1">
      <c r="A121" s="23"/>
      <c r="B121" s="24"/>
      <c r="C121" s="24"/>
      <c r="D121" s="195" t="s">
        <v>97</v>
      </c>
      <c r="E121" s="145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5"/>
    </row>
    <row r="122" spans="1:63" ht="15" customHeight="1">
      <c r="A122" s="23"/>
      <c r="B122" s="24"/>
      <c r="D122" s="40" t="s">
        <v>48</v>
      </c>
      <c r="E122" s="41"/>
      <c r="F122" s="40" t="s">
        <v>56</v>
      </c>
      <c r="G122" s="44"/>
      <c r="H122" s="44"/>
      <c r="I122" s="44"/>
      <c r="J122" s="62"/>
      <c r="K122" s="62"/>
      <c r="L122" s="44"/>
      <c r="M122" s="111"/>
      <c r="N122" s="111"/>
      <c r="O122" s="40" t="s">
        <v>57</v>
      </c>
      <c r="P122" s="44"/>
      <c r="Q122" s="62"/>
      <c r="R122" s="62"/>
      <c r="S122" s="44"/>
      <c r="T122" s="44"/>
      <c r="U122" s="44"/>
      <c r="V122" s="44"/>
      <c r="W122" s="44"/>
      <c r="X122" s="62"/>
      <c r="Y122" s="62"/>
      <c r="Z122" s="44"/>
      <c r="AA122" s="44"/>
      <c r="AB122" s="44"/>
      <c r="AC122" s="63"/>
      <c r="AD122" s="40" t="s">
        <v>51</v>
      </c>
      <c r="AE122" s="44"/>
      <c r="AF122" s="44"/>
      <c r="AG122" s="44"/>
      <c r="AH122" s="44"/>
      <c r="AI122" s="44"/>
      <c r="AJ122" s="44"/>
      <c r="AK122" s="44"/>
      <c r="AL122" s="44"/>
      <c r="AM122" s="44"/>
      <c r="AN122" s="48"/>
      <c r="AO122" s="48"/>
      <c r="AP122" s="48"/>
      <c r="AQ122" s="48"/>
      <c r="AR122" s="48"/>
      <c r="AS122" s="48"/>
      <c r="AT122" s="48"/>
      <c r="AU122" s="48"/>
      <c r="AV122" s="49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5"/>
    </row>
    <row r="123" spans="1:63" ht="15" customHeight="1">
      <c r="A123" s="23"/>
      <c r="B123" s="24"/>
      <c r="D123" s="42">
        <v>1</v>
      </c>
      <c r="E123" s="43"/>
      <c r="F123" s="174" t="s">
        <v>156</v>
      </c>
      <c r="G123" s="47"/>
      <c r="H123" s="47"/>
      <c r="I123" s="47"/>
      <c r="J123" s="127"/>
      <c r="K123" s="127"/>
      <c r="L123" s="47"/>
      <c r="M123" s="127"/>
      <c r="N123" s="127"/>
      <c r="O123" s="253" t="s">
        <v>159</v>
      </c>
      <c r="P123" s="176"/>
      <c r="Q123" s="176"/>
      <c r="R123" s="245"/>
      <c r="S123" s="246"/>
      <c r="T123" s="247"/>
      <c r="U123" s="247"/>
      <c r="V123" s="247"/>
      <c r="W123" s="247"/>
      <c r="X123" s="211"/>
      <c r="Y123" s="211"/>
      <c r="Z123" s="211"/>
      <c r="AA123" s="211"/>
      <c r="AB123" s="211"/>
      <c r="AC123" s="212"/>
      <c r="AD123" s="42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3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5"/>
    </row>
    <row r="124" spans="1:63" ht="15" customHeight="1">
      <c r="A124" s="23"/>
      <c r="B124" s="24"/>
      <c r="D124" s="42">
        <v>2</v>
      </c>
      <c r="E124" s="43"/>
      <c r="F124" s="174" t="s">
        <v>116</v>
      </c>
      <c r="G124" s="47"/>
      <c r="H124" s="47"/>
      <c r="I124" s="47"/>
      <c r="J124" s="127"/>
      <c r="K124" s="127"/>
      <c r="L124" s="47"/>
      <c r="M124" s="127"/>
      <c r="N124" s="127"/>
      <c r="O124" s="210" t="s">
        <v>154</v>
      </c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2"/>
      <c r="AD124" s="42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3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5"/>
    </row>
    <row r="125" spans="1:63" ht="15" customHeight="1">
      <c r="A125" s="23"/>
      <c r="B125" s="24"/>
      <c r="D125" s="42">
        <v>3</v>
      </c>
      <c r="E125" s="43"/>
      <c r="F125" s="174" t="s">
        <v>140</v>
      </c>
      <c r="G125" s="47"/>
      <c r="H125" s="47"/>
      <c r="I125" s="47"/>
      <c r="J125" s="127"/>
      <c r="K125" s="127"/>
      <c r="L125" s="47"/>
      <c r="M125" s="127"/>
      <c r="N125" s="127"/>
      <c r="O125" s="175" t="s">
        <v>187</v>
      </c>
      <c r="P125" s="176"/>
      <c r="Q125" s="176"/>
      <c r="R125" s="176"/>
      <c r="S125" s="211"/>
      <c r="T125" s="241"/>
      <c r="U125" s="211"/>
      <c r="V125" s="211"/>
      <c r="W125" s="211"/>
      <c r="X125" s="211"/>
      <c r="Y125" s="211"/>
      <c r="Z125" s="211"/>
      <c r="AA125" s="211"/>
      <c r="AB125" s="211"/>
      <c r="AC125" s="212"/>
      <c r="AD125" s="42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3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5"/>
    </row>
    <row r="126" spans="1:63" ht="15" customHeight="1">
      <c r="A126" s="23"/>
      <c r="B126" s="24"/>
      <c r="D126" s="24"/>
      <c r="E126" s="213"/>
      <c r="F126" s="24"/>
      <c r="G126" s="24"/>
      <c r="H126" s="24"/>
      <c r="I126" s="213"/>
      <c r="J126" s="213"/>
      <c r="K126" s="213"/>
      <c r="L126" s="213"/>
      <c r="M126" s="2"/>
      <c r="N126" s="2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5"/>
      <c r="AE126" s="215"/>
      <c r="AF126" s="215"/>
      <c r="AG126" s="215"/>
      <c r="AH126" s="215"/>
      <c r="AI126" s="215"/>
      <c r="AJ126" s="215"/>
      <c r="AK126" s="215"/>
      <c r="AL126" s="215"/>
      <c r="AM126" s="215"/>
      <c r="AN126" s="215"/>
      <c r="AO126" s="215"/>
      <c r="AP126" s="215"/>
      <c r="AQ126" s="215"/>
      <c r="AR126" s="215"/>
      <c r="AS126" s="215"/>
      <c r="AT126" s="215"/>
      <c r="AU126" s="215"/>
      <c r="AV126" s="215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5"/>
    </row>
    <row r="127" spans="1:63" ht="15" customHeight="1">
      <c r="A127" s="23"/>
      <c r="B127" s="24"/>
      <c r="C127" s="24"/>
      <c r="D127" s="195" t="s">
        <v>98</v>
      </c>
      <c r="E127" s="145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5"/>
    </row>
    <row r="128" spans="1:63" ht="15" customHeight="1">
      <c r="A128" s="23"/>
      <c r="B128" s="24"/>
      <c r="C128" s="24"/>
      <c r="D128" s="40" t="s">
        <v>48</v>
      </c>
      <c r="E128" s="41"/>
      <c r="F128" s="40" t="s">
        <v>56</v>
      </c>
      <c r="G128" s="44"/>
      <c r="H128" s="44"/>
      <c r="I128" s="44"/>
      <c r="J128" s="62"/>
      <c r="K128" s="62"/>
      <c r="L128" s="44"/>
      <c r="M128" s="111"/>
      <c r="N128" s="111"/>
      <c r="O128" s="40" t="s">
        <v>57</v>
      </c>
      <c r="P128" s="44"/>
      <c r="Q128" s="62"/>
      <c r="R128" s="62"/>
      <c r="S128" s="44"/>
      <c r="T128" s="44"/>
      <c r="U128" s="44"/>
      <c r="V128" s="44"/>
      <c r="W128" s="44"/>
      <c r="X128" s="62"/>
      <c r="Y128" s="62"/>
      <c r="Z128" s="44"/>
      <c r="AA128" s="44"/>
      <c r="AB128" s="44"/>
      <c r="AC128" s="63"/>
      <c r="AD128" s="40" t="s">
        <v>51</v>
      </c>
      <c r="AE128" s="44"/>
      <c r="AF128" s="44"/>
      <c r="AG128" s="44"/>
      <c r="AH128" s="44"/>
      <c r="AI128" s="44"/>
      <c r="AJ128" s="44"/>
      <c r="AK128" s="44"/>
      <c r="AL128" s="44"/>
      <c r="AM128" s="44"/>
      <c r="AN128" s="48"/>
      <c r="AO128" s="48"/>
      <c r="AP128" s="48"/>
      <c r="AQ128" s="48"/>
      <c r="AR128" s="48"/>
      <c r="AS128" s="48"/>
      <c r="AT128" s="48"/>
      <c r="AU128" s="48"/>
      <c r="AV128" s="49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5"/>
    </row>
    <row r="129" spans="1:63" ht="15" customHeight="1">
      <c r="A129" s="23"/>
      <c r="B129" s="24"/>
      <c r="C129" s="24"/>
      <c r="D129" s="42">
        <v>1</v>
      </c>
      <c r="E129" s="43"/>
      <c r="F129" s="131" t="s">
        <v>156</v>
      </c>
      <c r="G129" s="47"/>
      <c r="H129" s="47"/>
      <c r="I129" s="47"/>
      <c r="J129" s="127"/>
      <c r="K129" s="127"/>
      <c r="L129" s="47"/>
      <c r="M129" s="127"/>
      <c r="N129" s="127"/>
      <c r="O129" s="253" t="s">
        <v>160</v>
      </c>
      <c r="P129" s="176"/>
      <c r="Q129" s="176"/>
      <c r="R129" s="176"/>
      <c r="S129" s="246"/>
      <c r="T129" s="176"/>
      <c r="U129" s="247"/>
      <c r="V129" s="247"/>
      <c r="W129" s="247"/>
      <c r="X129" s="211"/>
      <c r="Y129" s="211"/>
      <c r="Z129" s="211"/>
      <c r="AA129" s="211"/>
      <c r="AB129" s="211"/>
      <c r="AC129" s="212"/>
      <c r="AD129" s="42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3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5"/>
    </row>
    <row r="130" spans="1:63" ht="15" customHeight="1">
      <c r="A130" s="23"/>
      <c r="B130" s="24"/>
      <c r="C130" s="24"/>
      <c r="D130" s="42">
        <v>2</v>
      </c>
      <c r="E130" s="43"/>
      <c r="F130" s="131" t="s">
        <v>140</v>
      </c>
      <c r="G130" s="47"/>
      <c r="H130" s="47"/>
      <c r="I130" s="47"/>
      <c r="J130" s="127"/>
      <c r="K130" s="127"/>
      <c r="L130" s="47"/>
      <c r="M130" s="127"/>
      <c r="N130" s="127"/>
      <c r="O130" s="210" t="s">
        <v>186</v>
      </c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2"/>
      <c r="AD130" s="42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3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5"/>
    </row>
    <row r="131" spans="1:63" ht="15" customHeight="1">
      <c r="A131" s="23"/>
      <c r="B131" s="24"/>
      <c r="C131" s="24"/>
      <c r="D131" s="195"/>
      <c r="E131" s="145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5"/>
    </row>
    <row r="132" spans="1:63" ht="15" customHeight="1">
      <c r="A132" s="23"/>
      <c r="B132" s="24"/>
      <c r="C132" s="24"/>
      <c r="D132" s="145" t="s">
        <v>39</v>
      </c>
      <c r="E132" s="145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5"/>
    </row>
    <row r="133" spans="1:63" ht="15" customHeight="1">
      <c r="A133" s="26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8"/>
    </row>
  </sheetData>
  <mergeCells count="40">
    <mergeCell ref="F111:G111"/>
    <mergeCell ref="F112:G112"/>
    <mergeCell ref="F113:G113"/>
    <mergeCell ref="F114:G114"/>
    <mergeCell ref="F115:G115"/>
    <mergeCell ref="H92:W92"/>
    <mergeCell ref="X92:AM92"/>
    <mergeCell ref="F110:G110"/>
    <mergeCell ref="F78:G78"/>
    <mergeCell ref="F79:G79"/>
    <mergeCell ref="H104:W104"/>
    <mergeCell ref="F80:G81"/>
    <mergeCell ref="X104:AM104"/>
    <mergeCell ref="X67:AM67"/>
    <mergeCell ref="F75:G75"/>
    <mergeCell ref="F76:G76"/>
    <mergeCell ref="F77:G77"/>
    <mergeCell ref="H67:W67"/>
    <mergeCell ref="F73:G73"/>
    <mergeCell ref="F74:G74"/>
    <mergeCell ref="A4:G4"/>
    <mergeCell ref="W1:AO3"/>
    <mergeCell ref="K1:V1"/>
    <mergeCell ref="A1:J1"/>
    <mergeCell ref="U4:Y4"/>
    <mergeCell ref="H4:T4"/>
    <mergeCell ref="K2:V3"/>
    <mergeCell ref="A2:J3"/>
    <mergeCell ref="AP1:AS1"/>
    <mergeCell ref="AP2:AS3"/>
    <mergeCell ref="AP4:BK4"/>
    <mergeCell ref="Z4:AO4"/>
    <mergeCell ref="BH2:BK3"/>
    <mergeCell ref="BC2:BG3"/>
    <mergeCell ref="AY2:BB3"/>
    <mergeCell ref="AT2:AX3"/>
    <mergeCell ref="BH1:BK1"/>
    <mergeCell ref="BC1:BG1"/>
    <mergeCell ref="AY1:BB1"/>
    <mergeCell ref="AT1:AX1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BK27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97" t="s">
        <v>25</v>
      </c>
      <c r="B1" s="298"/>
      <c r="C1" s="298"/>
      <c r="D1" s="298"/>
      <c r="E1" s="298"/>
      <c r="F1" s="298"/>
      <c r="G1" s="298"/>
      <c r="H1" s="298"/>
      <c r="I1" s="298"/>
      <c r="J1" s="299"/>
      <c r="K1" s="297" t="s">
        <v>26</v>
      </c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9"/>
      <c r="W1" s="300" t="str">
        <f>IF(Bìa!W1="","",Bìa!W1)</f>
        <v>TKCB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297" t="s">
        <v>18</v>
      </c>
      <c r="AQ1" s="298"/>
      <c r="AR1" s="298"/>
      <c r="AS1" s="299"/>
      <c r="AT1" s="297" t="s">
        <v>19</v>
      </c>
      <c r="AU1" s="298"/>
      <c r="AV1" s="298"/>
      <c r="AW1" s="298"/>
      <c r="AX1" s="299"/>
      <c r="AY1" s="297" t="s">
        <v>20</v>
      </c>
      <c r="AZ1" s="298"/>
      <c r="BA1" s="298"/>
      <c r="BB1" s="299"/>
      <c r="BC1" s="297" t="s">
        <v>21</v>
      </c>
      <c r="BD1" s="298"/>
      <c r="BE1" s="298"/>
      <c r="BF1" s="298"/>
      <c r="BG1" s="299"/>
      <c r="BH1" s="297" t="s">
        <v>2</v>
      </c>
      <c r="BI1" s="298"/>
      <c r="BJ1" s="298"/>
      <c r="BK1" s="299"/>
    </row>
    <row r="2" spans="1:63" ht="15" customHeight="1">
      <c r="A2" s="313" t="str">
        <f>IF(Bìa!A2="","",Bìa!A2)</f>
        <v>Manager User</v>
      </c>
      <c r="B2" s="292"/>
      <c r="C2" s="292"/>
      <c r="D2" s="292"/>
      <c r="E2" s="292"/>
      <c r="F2" s="292"/>
      <c r="G2" s="292"/>
      <c r="H2" s="292"/>
      <c r="I2" s="292"/>
      <c r="J2" s="293"/>
      <c r="K2" s="313" t="str">
        <f>IF(Bìa!K2="","",Bìa!K2)</f>
        <v>Thiết kế API</v>
      </c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3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313" t="str">
        <f>IF(Bìa!AP2="","",Bìa!AP2)</f>
        <v>ThanhPD</v>
      </c>
      <c r="AQ2" s="292"/>
      <c r="AR2" s="292"/>
      <c r="AS2" s="293"/>
      <c r="AT2" s="314">
        <f>IF(Bìa!AT2="","",Bìa!AT2)</f>
        <v>44930</v>
      </c>
      <c r="AU2" s="315"/>
      <c r="AV2" s="315"/>
      <c r="AW2" s="315"/>
      <c r="AX2" s="316"/>
      <c r="AY2" s="313" t="str">
        <f>IF(Bìa!AY2="","",Bìa!AY2)</f>
        <v>ThanhPD</v>
      </c>
      <c r="AZ2" s="292"/>
      <c r="BA2" s="292"/>
      <c r="BB2" s="293"/>
      <c r="BC2" s="314">
        <f>IF(Bìa!BC2="","",Bìa!BC2)</f>
        <v>44930</v>
      </c>
      <c r="BD2" s="315"/>
      <c r="BE2" s="315"/>
      <c r="BF2" s="315"/>
      <c r="BG2" s="316"/>
      <c r="BH2" s="313">
        <f>IF(Bìa!BH2="","",Bìa!BH2)</f>
        <v>0.1</v>
      </c>
      <c r="BI2" s="292"/>
      <c r="BJ2" s="292"/>
      <c r="BK2" s="293"/>
    </row>
    <row r="3" spans="1:63" ht="15" customHeight="1">
      <c r="A3" s="294"/>
      <c r="B3" s="295"/>
      <c r="C3" s="295"/>
      <c r="D3" s="295"/>
      <c r="E3" s="295"/>
      <c r="F3" s="295"/>
      <c r="G3" s="295"/>
      <c r="H3" s="295"/>
      <c r="I3" s="295"/>
      <c r="J3" s="296"/>
      <c r="K3" s="294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6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294"/>
      <c r="AQ3" s="295"/>
      <c r="AR3" s="295"/>
      <c r="AS3" s="296"/>
      <c r="AT3" s="317"/>
      <c r="AU3" s="318"/>
      <c r="AV3" s="318"/>
      <c r="AW3" s="318"/>
      <c r="AX3" s="319"/>
      <c r="AY3" s="294"/>
      <c r="AZ3" s="295"/>
      <c r="BA3" s="295"/>
      <c r="BB3" s="296"/>
      <c r="BC3" s="317"/>
      <c r="BD3" s="318"/>
      <c r="BE3" s="318"/>
      <c r="BF3" s="318"/>
      <c r="BG3" s="319"/>
      <c r="BH3" s="294"/>
      <c r="BI3" s="295"/>
      <c r="BJ3" s="295"/>
      <c r="BK3" s="296"/>
    </row>
    <row r="4" spans="1:63" ht="24.95" customHeight="1">
      <c r="A4" s="297" t="s">
        <v>17</v>
      </c>
      <c r="B4" s="298"/>
      <c r="C4" s="298"/>
      <c r="D4" s="298"/>
      <c r="E4" s="298"/>
      <c r="F4" s="298"/>
      <c r="G4" s="299"/>
      <c r="H4" s="309" t="str">
        <f>IF(Bìa!H4="","",Bìa!H4)</f>
        <v/>
      </c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297" t="s">
        <v>22</v>
      </c>
      <c r="V4" s="298"/>
      <c r="W4" s="298"/>
      <c r="X4" s="298"/>
      <c r="Y4" s="299"/>
      <c r="Z4" s="309" t="str">
        <f>IF(Bìa!Z4="","",Bìa!Z4)</f>
        <v>Update Employee</v>
      </c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1"/>
      <c r="AP4" s="312" t="s">
        <v>63</v>
      </c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1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23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>
      <c r="A7" s="23"/>
      <c r="B7" s="124"/>
      <c r="C7" s="132" t="s">
        <v>64</v>
      </c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>
      <c r="A8" s="23"/>
      <c r="B8" s="124"/>
      <c r="C8" s="132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>
      <c r="A9" s="23"/>
      <c r="B9" s="124"/>
      <c r="C9" s="135"/>
      <c r="D9" s="574" t="s">
        <v>65</v>
      </c>
      <c r="E9" s="575"/>
      <c r="F9" s="574" t="s">
        <v>66</v>
      </c>
      <c r="G9" s="576"/>
      <c r="H9" s="576"/>
      <c r="I9" s="576"/>
      <c r="J9" s="576"/>
      <c r="K9" s="576"/>
      <c r="L9" s="577" t="s">
        <v>67</v>
      </c>
      <c r="M9" s="577"/>
      <c r="N9" s="577"/>
      <c r="O9" s="577"/>
      <c r="P9" s="577"/>
      <c r="Q9" s="577"/>
      <c r="R9" s="577"/>
      <c r="S9" s="577"/>
      <c r="T9" s="577"/>
      <c r="U9" s="577"/>
      <c r="V9" s="577"/>
      <c r="W9" s="577"/>
      <c r="X9" s="577"/>
      <c r="Y9" s="577"/>
      <c r="Z9" s="577"/>
      <c r="AA9" s="577"/>
      <c r="AB9" s="577"/>
      <c r="AC9" s="577"/>
      <c r="AD9" s="577"/>
      <c r="AE9" s="577"/>
      <c r="AF9" s="577"/>
      <c r="AG9" s="577"/>
      <c r="AH9" s="577"/>
      <c r="AI9" s="577"/>
      <c r="AJ9" s="577"/>
      <c r="AK9" s="577"/>
      <c r="AL9" s="577"/>
      <c r="AM9" s="577"/>
      <c r="AN9" s="577"/>
      <c r="AO9" s="577"/>
      <c r="AP9" s="577"/>
      <c r="AQ9" s="577"/>
      <c r="AR9" s="577"/>
      <c r="AS9" s="577"/>
      <c r="AT9" s="1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ht="15" customHeight="1">
      <c r="A10" s="23"/>
      <c r="B10" s="124"/>
      <c r="C10" s="134"/>
      <c r="D10" s="578"/>
      <c r="E10" s="579"/>
      <c r="F10" s="580"/>
      <c r="G10" s="581"/>
      <c r="H10" s="581"/>
      <c r="I10" s="581"/>
      <c r="J10" s="581"/>
      <c r="K10" s="582"/>
      <c r="L10" s="583"/>
      <c r="M10" s="584"/>
      <c r="N10" s="584"/>
      <c r="O10" s="584"/>
      <c r="P10" s="584"/>
      <c r="Q10" s="584"/>
      <c r="R10" s="584"/>
      <c r="S10" s="584"/>
      <c r="T10" s="584"/>
      <c r="U10" s="584"/>
      <c r="V10" s="584"/>
      <c r="W10" s="584"/>
      <c r="X10" s="584"/>
      <c r="Y10" s="584"/>
      <c r="Z10" s="584"/>
      <c r="AA10" s="584"/>
      <c r="AB10" s="584"/>
      <c r="AC10" s="584"/>
      <c r="AD10" s="584"/>
      <c r="AE10" s="584"/>
      <c r="AF10" s="584"/>
      <c r="AG10" s="584"/>
      <c r="AH10" s="584"/>
      <c r="AI10" s="584"/>
      <c r="AJ10" s="584"/>
      <c r="AK10" s="584"/>
      <c r="AL10" s="584"/>
      <c r="AM10" s="584"/>
      <c r="AN10" s="584"/>
      <c r="AO10" s="584"/>
      <c r="AP10" s="584"/>
      <c r="AQ10" s="584"/>
      <c r="AR10" s="584"/>
      <c r="AS10" s="585"/>
      <c r="AT10" s="1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63" ht="15" customHeight="1">
      <c r="A11" s="23"/>
      <c r="B11" s="124"/>
      <c r="C11" s="134"/>
      <c r="D11" s="566"/>
      <c r="E11" s="567"/>
      <c r="F11" s="568"/>
      <c r="G11" s="569"/>
      <c r="H11" s="569"/>
      <c r="I11" s="569"/>
      <c r="J11" s="569"/>
      <c r="K11" s="570"/>
      <c r="L11" s="571"/>
      <c r="M11" s="572"/>
      <c r="N11" s="572"/>
      <c r="O11" s="572"/>
      <c r="P11" s="572"/>
      <c r="Q11" s="572"/>
      <c r="R11" s="572"/>
      <c r="S11" s="572"/>
      <c r="T11" s="572"/>
      <c r="U11" s="572"/>
      <c r="V11" s="572"/>
      <c r="W11" s="572"/>
      <c r="X11" s="572"/>
      <c r="Y11" s="572"/>
      <c r="Z11" s="572"/>
      <c r="AA11" s="572"/>
      <c r="AB11" s="572"/>
      <c r="AC11" s="572"/>
      <c r="AD11" s="572"/>
      <c r="AE11" s="572"/>
      <c r="AF11" s="572"/>
      <c r="AG11" s="572"/>
      <c r="AH11" s="572"/>
      <c r="AI11" s="572"/>
      <c r="AJ11" s="572"/>
      <c r="AK11" s="572"/>
      <c r="AL11" s="572"/>
      <c r="AM11" s="572"/>
      <c r="AN11" s="572"/>
      <c r="AO11" s="572"/>
      <c r="AP11" s="572"/>
      <c r="AQ11" s="572"/>
      <c r="AR11" s="572"/>
      <c r="AS11" s="573"/>
      <c r="AT11" s="1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63" ht="15" customHeight="1">
      <c r="A12" s="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63" ht="15" customHeight="1">
      <c r="A13" s="23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/>
    </row>
    <row r="14" spans="1:63" ht="15" customHeight="1">
      <c r="A14" s="23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</row>
    <row r="15" spans="1:63" ht="15" customHeight="1">
      <c r="A15" s="23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63" ht="15" customHeight="1">
      <c r="A16" s="23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>
      <c r="A18" s="23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>
      <c r="A19" s="23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>
      <c r="A20" s="23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>
      <c r="A21" s="23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>
      <c r="A22" s="23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>
      <c r="A23" s="23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>
      <c r="A24" s="23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>
      <c r="A25" s="23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5"/>
    </row>
    <row r="26" spans="1:63" ht="15" customHeight="1">
      <c r="A26" s="23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5"/>
    </row>
    <row r="27" spans="1:63" ht="1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8"/>
    </row>
  </sheetData>
  <mergeCells count="29">
    <mergeCell ref="D11:E11"/>
    <mergeCell ref="F11:K11"/>
    <mergeCell ref="L11:AS11"/>
    <mergeCell ref="D9:E9"/>
    <mergeCell ref="F9:K9"/>
    <mergeCell ref="L9:AS9"/>
    <mergeCell ref="D10:E10"/>
    <mergeCell ref="F10:K10"/>
    <mergeCell ref="L10:AS10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4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Bìa</vt:lpstr>
      <vt:lpstr>Lịch sử thay đổi</vt:lpstr>
      <vt:lpstr>Khái quát</vt:lpstr>
      <vt:lpstr>Flow xử lý</vt:lpstr>
      <vt:lpstr>Chi tiết xử lý</vt:lpstr>
      <vt:lpstr>Tham chiếu</vt:lpstr>
      <vt:lpstr>Bìa!Print_Area</vt:lpstr>
      <vt:lpstr>'Chi tiết xử lý'!Print_Area</vt:lpstr>
      <vt:lpstr>'Flow xử lý'!Print_Area</vt:lpstr>
      <vt:lpstr>'Khái quát'!Print_Area</vt:lpstr>
      <vt:lpstr>'Lịch sử thay đổi'!Print_Area</vt:lpstr>
      <vt:lpstr>'Tham chiếu'!Print_Area</vt:lpstr>
      <vt:lpstr>Bìa!Print_Titles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Viet Hung</dc:creator>
  <cp:keywords/>
  <dc:description/>
  <cp:lastModifiedBy>Le Nghiem Thanh Thuy</cp:lastModifiedBy>
  <cp:lastPrinted>2019-10-22T18:12:02Z</cp:lastPrinted>
  <dcterms:created xsi:type="dcterms:W3CDTF">2018-06-27T16:17:55Z</dcterms:created>
  <dcterms:modified xsi:type="dcterms:W3CDTF">2023-05-03T07:42:15Z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eadcb6dd-8d16-4e7e-8371-f45e70dab206</vt:lpwstr>
  </property>
</Properties>
</file>