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\projects\TRD\07.Output\2025\DaoTao\LA\LARG03\02.Implementation\SVNDuAn\LARG03\02.Input\09.Project\03.BaiTapCuoiKhoa\01.ManageUser\01.Design\TKAPI\"/>
    </mc:Choice>
  </mc:AlternateContent>
  <xr:revisionPtr revIDLastSave="0" documentId="13_ncr:1_{49FE694E-E948-48F7-8F6C-B84C4FAA5E4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Bìa" sheetId="6" r:id="rId1"/>
    <sheet name="Lịch sử thay đổi" sheetId="3" r:id="rId2"/>
    <sheet name="Khái quát" sheetId="1" r:id="rId3"/>
    <sheet name="Flow xử lý" sheetId="4" r:id="rId4"/>
    <sheet name="Chi tiết xử lý" sheetId="2" r:id="rId5"/>
    <sheet name="Tham chiếu" sheetId="7" r:id="rId6"/>
  </sheets>
  <definedNames>
    <definedName name="_xlnm.Print_Area" localSheetId="0">Bìa!$A$1:$BK$56</definedName>
    <definedName name="_xlnm.Print_Area" localSheetId="4">'Chi tiết xử lý'!$A$1:$BK$57</definedName>
    <definedName name="_xlnm.Print_Area" localSheetId="3">'Flow xử lý'!$A$1:$BK$50</definedName>
    <definedName name="_xlnm.Print_Area" localSheetId="2">'Khái quát'!$A$1:$BK$58</definedName>
    <definedName name="_xlnm.Print_Area" localSheetId="1">'Lịch sử thay đổi'!$A$1:$BK$63</definedName>
    <definedName name="_xlnm.Print_Area" localSheetId="5">'Tham chiếu'!$A$1:$BK$27</definedName>
    <definedName name="_xlnm.Print_Titles" localSheetId="0">Bìa!$1:$5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C31" i="1"/>
  <c r="BH2" i="6" l="1"/>
  <c r="BC2" i="6"/>
  <c r="AY2" i="6"/>
  <c r="Z4" i="7" l="1"/>
  <c r="H4" i="7"/>
  <c r="BH2" i="7"/>
  <c r="BC2" i="7"/>
  <c r="AY2" i="7"/>
  <c r="AT2" i="7"/>
  <c r="AP2" i="7"/>
  <c r="K2" i="7"/>
  <c r="A2" i="7"/>
  <c r="W1" i="7"/>
  <c r="H4" i="2" l="1"/>
  <c r="Z4" i="2" l="1"/>
  <c r="BH2" i="2"/>
  <c r="BC2" i="2"/>
  <c r="AY2" i="2"/>
  <c r="AT2" i="2"/>
  <c r="AP2" i="2"/>
  <c r="K2" i="2"/>
  <c r="A2" i="2"/>
  <c r="W1" i="2"/>
  <c r="Z4" i="4"/>
  <c r="H4" i="4"/>
  <c r="BH2" i="4"/>
  <c r="BC2" i="4"/>
  <c r="AY2" i="4"/>
  <c r="AT2" i="4"/>
  <c r="AP2" i="4"/>
  <c r="K2" i="4"/>
  <c r="A2" i="4"/>
  <c r="W1" i="4"/>
  <c r="Z4" i="1"/>
  <c r="W14" i="1" s="1"/>
  <c r="BH2" i="1"/>
  <c r="BC2" i="1"/>
  <c r="AY2" i="1"/>
  <c r="AT2" i="1"/>
  <c r="AP2" i="1"/>
  <c r="K2" i="1"/>
  <c r="A2" i="1"/>
  <c r="W1" i="1"/>
  <c r="Z4" i="3"/>
  <c r="H4" i="3"/>
  <c r="BH2" i="3"/>
  <c r="BC2" i="3"/>
  <c r="AY2" i="3"/>
  <c r="AT2" i="3"/>
  <c r="AP2" i="3"/>
  <c r="K2" i="3"/>
  <c r="A2" i="3"/>
  <c r="W1" i="3"/>
  <c r="L24" i="6"/>
</calcChain>
</file>

<file path=xl/sharedStrings.xml><?xml version="1.0" encoding="utf-8"?>
<sst xmlns="http://schemas.openxmlformats.org/spreadsheetml/2006/main" count="223" uniqueCount="135">
  <si>
    <r>
      <rPr>
        <b/>
        <sz val="11"/>
        <color rgb="FFFFFFFF"/>
        <rFont val="メイリオ"/>
        <family val="3"/>
      </rPr>
      <t>Date</t>
    </r>
  </si>
  <si>
    <r>
      <rPr>
        <b/>
        <sz val="11"/>
        <color rgb="FFFFFFFF"/>
        <rFont val="メイリオ"/>
        <family val="3"/>
      </rPr>
      <t>Người update</t>
    </r>
  </si>
  <si>
    <r>
      <rPr>
        <sz val="11"/>
        <color rgb="FFFFFFFF"/>
        <rFont val="Meiryo UI"/>
        <family val="3"/>
      </rPr>
      <t>Version</t>
    </r>
  </si>
  <si>
    <r>
      <rPr>
        <sz val="11"/>
        <color rgb="FF000000"/>
        <rFont val="Meiryo UI"/>
        <family val="3"/>
      </rPr>
      <t>Lịch sử thay đổi</t>
    </r>
  </si>
  <si>
    <r>
      <rPr>
        <sz val="11"/>
        <color rgb="FF000000"/>
        <rFont val="Meiryo UI"/>
        <family val="3"/>
      </rPr>
      <t>■Lịch sử thay đổi</t>
    </r>
  </si>
  <si>
    <r>
      <rPr>
        <b/>
        <sz val="11"/>
        <color rgb="FFFFFFFF"/>
        <rFont val="メイリオ"/>
        <family val="3"/>
      </rPr>
      <t>Version</t>
    </r>
  </si>
  <si>
    <r>
      <rPr>
        <b/>
        <sz val="11"/>
        <color rgb="FFFFFFFF"/>
        <rFont val="メイリオ"/>
        <family val="3"/>
      </rPr>
      <t>Nội dung thay đổi</t>
    </r>
  </si>
  <si>
    <r>
      <rPr>
        <b/>
        <sz val="11"/>
        <color rgb="FF000000"/>
        <rFont val="Meiryo UI"/>
        <family val="3"/>
      </rPr>
      <t>1.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Khái quát</t>
    </r>
  </si>
  <si>
    <r>
      <rPr>
        <b/>
        <sz val="11"/>
        <color rgb="FF000000"/>
        <rFont val="Meiryo UI"/>
        <family val="3"/>
      </rPr>
      <t>Request URL</t>
    </r>
  </si>
  <si>
    <r>
      <rPr>
        <b/>
        <sz val="11"/>
        <color rgb="FF000000"/>
        <rFont val="Meiryo UI"/>
        <family val="3"/>
      </rPr>
      <t>Method HTTP</t>
    </r>
  </si>
  <si>
    <r>
      <rPr>
        <b/>
        <sz val="11"/>
        <color rgb="FF000000"/>
        <rFont val="Meiryo UI"/>
        <family val="3"/>
      </rPr>
      <t>Request Parameter</t>
    </r>
  </si>
  <si>
    <r>
      <rPr>
        <b/>
        <sz val="11"/>
        <color rgb="FF000000"/>
        <rFont val="Meiryo UI"/>
        <family val="3"/>
      </rPr>
      <t xml:space="preserve">Parameter </t>
    </r>
  </si>
  <si>
    <r>
      <rPr>
        <b/>
        <sz val="11"/>
        <color rgb="FF000000"/>
        <rFont val="Meiryo UI"/>
        <family val="3"/>
      </rPr>
      <t>Bắt buộc</t>
    </r>
  </si>
  <si>
    <r>
      <rPr>
        <b/>
        <sz val="11"/>
        <color rgb="FF000000"/>
        <rFont val="Meiryo UI"/>
        <family val="3"/>
      </rPr>
      <t>Giá trị default</t>
    </r>
  </si>
  <si>
    <r>
      <rPr>
        <b/>
        <sz val="11"/>
        <color rgb="FF000000"/>
        <rFont val="Meiryo UI"/>
        <family val="3"/>
      </rPr>
      <t>3.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Response</t>
    </r>
  </si>
  <si>
    <r>
      <rPr>
        <sz val="11"/>
        <color rgb="FF000000"/>
        <rFont val="Meiryo UI"/>
        <family val="3"/>
      </rPr>
      <t>Khái quát</t>
    </r>
  </si>
  <si>
    <r>
      <rPr>
        <sz val="11"/>
        <color rgb="FF000000"/>
        <rFont val="Meiryo UI"/>
        <family val="3"/>
      </rPr>
      <t>Flow xử lý</t>
    </r>
  </si>
  <si>
    <r>
      <rPr>
        <sz val="11"/>
        <color rgb="FFFFFFFF"/>
        <rFont val="Meiryo UI"/>
        <family val="3"/>
      </rPr>
      <t>Category chức năng</t>
    </r>
  </si>
  <si>
    <r>
      <rPr>
        <sz val="11"/>
        <color rgb="FFFFFFFF"/>
        <rFont val="Meiryo UI"/>
        <family val="3"/>
      </rPr>
      <t>Người tạo</t>
    </r>
  </si>
  <si>
    <r>
      <rPr>
        <sz val="11"/>
        <color rgb="FFFFFFFF"/>
        <rFont val="Meiryo UI"/>
        <family val="3"/>
      </rPr>
      <t>Ngày tạo</t>
    </r>
  </si>
  <si>
    <r>
      <rPr>
        <sz val="11"/>
        <color rgb="FFFFFFFF"/>
        <rFont val="Meiryo UI"/>
        <family val="3"/>
      </rPr>
      <t>Người update</t>
    </r>
  </si>
  <si>
    <r>
      <rPr>
        <sz val="11"/>
        <color rgb="FFFFFFFF"/>
        <rFont val="Meiryo UI"/>
        <family val="3"/>
      </rPr>
      <t>Ngày update</t>
    </r>
  </si>
  <si>
    <r>
      <rPr>
        <sz val="11"/>
        <color rgb="FFFFFFFF"/>
        <rFont val="Meiryo UI"/>
        <family val="3"/>
      </rPr>
      <t>Hạng mục</t>
    </r>
  </si>
  <si>
    <r>
      <rPr>
        <sz val="11"/>
        <color rgb="FF000000"/>
        <rFont val="Meiryo UI"/>
        <family val="3"/>
      </rPr>
      <t>Bìa</t>
    </r>
  </si>
  <si>
    <r>
      <rPr>
        <sz val="18"/>
        <color rgb="FF000000"/>
        <rFont val="Meiryo UI"/>
        <family val="3"/>
      </rPr>
      <t>TKCB</t>
    </r>
  </si>
  <si>
    <r>
      <rPr>
        <sz val="11"/>
        <color rgb="FFFFFFFF"/>
        <rFont val="Meiryo UI"/>
        <family val="3"/>
      </rPr>
      <t>Tên system</t>
    </r>
  </si>
  <si>
    <r>
      <rPr>
        <sz val="11"/>
        <color rgb="FFFFFFFF"/>
        <rFont val="Meiryo UI"/>
        <family val="3"/>
      </rPr>
      <t>Loại system</t>
    </r>
  </si>
  <si>
    <r>
      <rPr>
        <b/>
        <sz val="11"/>
        <color rgb="FF000000"/>
        <rFont val="Meiryo UI"/>
        <family val="3"/>
      </rPr>
      <t>No.</t>
    </r>
    <r>
      <rPr>
        <b/>
        <sz val="11"/>
        <color rgb="FF000000"/>
        <rFont val="Meiryo UI"/>
        <family val="3"/>
      </rPr>
      <t xml:space="preserve"> </t>
    </r>
  </si>
  <si>
    <r>
      <rPr>
        <b/>
        <sz val="11"/>
        <color rgb="FF000000"/>
        <rFont val="Meiryo UI"/>
        <family val="3"/>
      </rPr>
      <t>Note</t>
    </r>
  </si>
  <si>
    <r>
      <rPr>
        <b/>
        <sz val="11"/>
        <color rgb="FF000000"/>
        <rFont val="Meiryo UI"/>
        <family val="3"/>
      </rPr>
      <t>Kiểu</t>
    </r>
  </si>
  <si>
    <r>
      <rPr>
        <b/>
        <sz val="11"/>
        <color rgb="FF000000"/>
        <rFont val="Meiryo UI"/>
        <family val="3"/>
      </rPr>
      <t>Tên hạng mục</t>
    </r>
  </si>
  <si>
    <t>Tạo mới tài liệu</t>
    <phoneticPr fontId="20"/>
  </si>
  <si>
    <t>2. Request</t>
    <phoneticPr fontId="20"/>
  </si>
  <si>
    <t>json key name</t>
    <phoneticPr fontId="20"/>
  </si>
  <si>
    <t>number</t>
    <phoneticPr fontId="20"/>
  </si>
  <si>
    <t>{}</t>
    <phoneticPr fontId="20"/>
  </si>
  <si>
    <t>number</t>
  </si>
  <si>
    <t>Service</t>
  </si>
  <si>
    <t>API name</t>
  </si>
  <si>
    <t xml:space="preserve"> - Kết thúc xử lý</t>
    <phoneticPr fontId="20"/>
  </si>
  <si>
    <t>Ngày phê chuẩn</t>
  </si>
  <si>
    <t>Người phê chuẩn</t>
  </si>
  <si>
    <t>Version</t>
  </si>
  <si>
    <t xml:space="preserve">                                                                                      </t>
  </si>
  <si>
    <t xml:space="preserve">{                                                                                     </t>
  </si>
  <si>
    <t xml:space="preserve">}                                                                                     </t>
  </si>
  <si>
    <t>※Sample</t>
  </si>
  <si>
    <t xml:space="preserve">No. </t>
  </si>
  <si>
    <t>Kiểu</t>
  </si>
  <si>
    <t>Tên hạng mục</t>
  </si>
  <si>
    <t>Note</t>
  </si>
  <si>
    <t>&lt;Không có&gt;</t>
  </si>
  <si>
    <t>1. Validate prameter</t>
  </si>
  <si>
    <t>Key</t>
  </si>
  <si>
    <t>Giá trị</t>
  </si>
  <si>
    <t>Xử lý common:</t>
  </si>
  <si>
    <t>Xử lý chi tiết:</t>
  </si>
  <si>
    <t>Tham chiếu</t>
  </si>
  <si>
    <t>Danh sách tài liệu tham chiếu</t>
  </si>
  <si>
    <t>No.</t>
  </si>
  <si>
    <t>Mã tham chiếu</t>
  </si>
  <si>
    <t>Tài liệu tham chiếu</t>
  </si>
  <si>
    <t>■Danh sách bảng sử dụng</t>
  </si>
  <si>
    <t>No</t>
  </si>
  <si>
    <t>Tên bảng logic</t>
  </si>
  <si>
    <t>ID bảng vật lý</t>
  </si>
  <si>
    <t>Create</t>
  </si>
  <si>
    <t>Refer</t>
  </si>
  <si>
    <t>Update</t>
  </si>
  <si>
    <t>Xóa</t>
  </si>
  <si>
    <t>〇</t>
  </si>
  <si>
    <t>■Table access</t>
  </si>
  <si>
    <t>Tên bảng</t>
  </si>
  <si>
    <t>①</t>
  </si>
  <si>
    <t>Manager User</t>
  </si>
  <si>
    <t>ThanhPD</t>
  </si>
  <si>
    <t>Trường hợp api trả về lỗi</t>
  </si>
  <si>
    <t>Trường hợp api trả về response bình thường</t>
  </si>
  <si>
    <t>Tên system</t>
  </si>
  <si>
    <t>Loại system</t>
  </si>
  <si>
    <t>Người tạo</t>
  </si>
  <si>
    <t>Ngày tạo</t>
  </si>
  <si>
    <t>Người update</t>
  </si>
  <si>
    <t>Ngày update</t>
  </si>
  <si>
    <t>Category chức năng</t>
  </si>
  <si>
    <t>Hạng mục</t>
  </si>
  <si>
    <t>Chi tiết xử lý</t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</si>
  <si>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không có lỗi xảy ra:</t>
    </r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</si>
  <si>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có lỗi xảy ra</t>
    </r>
  </si>
  <si>
    <t>o</t>
  </si>
  <si>
    <t>Tên hạng mục</t>
  </si>
  <si>
    <t>DELETE</t>
  </si>
  <si>
    <t>message</t>
  </si>
  <si>
    <t>code</t>
  </si>
  <si>
    <t>Điều kiện xóa</t>
  </si>
  <si>
    <r>
      <t>4.</t>
    </r>
    <r>
      <rPr>
        <b/>
        <sz val="11"/>
        <color theme="1"/>
        <rFont val="Meiryo UI"/>
        <family val="3"/>
        <charset val="128"/>
      </rPr>
      <t xml:space="preserve"> Tạo dữ liệu response cho API</t>
    </r>
  </si>
  <si>
    <t>Nếu có lỗi khi xóa thì trả về lỗi và chuyển sang bước  [4. Tạo dữ liệu response cho API]</t>
  </si>
  <si>
    <t>Delete employee</t>
  </si>
  <si>
    <t>Lấy thông tin chi tiết nhân viên</t>
  </si>
  <si>
    <t>employee</t>
  </si>
  <si>
    <t>employeeId</t>
  </si>
  <si>
    <t>id của employee cần xóa</t>
  </si>
  <si>
    <t>/employee/1</t>
  </si>
  <si>
    <t xml:space="preserve">    "employeeId": "1",                                                                                      </t>
  </si>
  <si>
    <t>1.1 Validate parameter [employeeId]</t>
  </si>
  <si>
    <t>employee_id</t>
  </si>
  <si>
    <t xml:space="preserve"> = employee_id từ parameter [employeeId]</t>
  </si>
  <si>
    <t>employees</t>
  </si>
  <si>
    <t>Lấy giá trị từ parameter [employeeId]</t>
  </si>
  <si>
    <t>Thông tin chứng chỉ tiếng Nhật của nhân viên</t>
  </si>
  <si>
    <t>employees_certifications</t>
  </si>
  <si>
    <t>2. Xóa thông tin trình độ tiếng Nhật của nhân viên</t>
  </si>
  <si>
    <t>3. Xóa thông tin nhân viên</t>
  </si>
  <si>
    <t>Thông tin nhân viên</t>
  </si>
  <si>
    <t xml:space="preserve">    "code": "200"                                                                     </t>
  </si>
  <si>
    <t xml:space="preserve">    "code": "500"                                                                     </t>
  </si>
  <si>
    <t>Khởi tạo transaction</t>
  </si>
  <si>
    <t>Nếu không có lỗi gì xảy ra thì Commit transaction</t>
  </si>
  <si>
    <t>Nếu có lỗi xảy ra thì Rollback transaction</t>
  </si>
  <si>
    <t>200</t>
  </si>
  <si>
    <t>500</t>
  </si>
  <si>
    <t xml:space="preserve">    "message":  {                                             </t>
  </si>
  <si>
    <t xml:space="preserve">    "params": []        </t>
  </si>
  <si>
    <t>}</t>
  </si>
  <si>
    <t xml:space="preserve">    "code": "MSG003"           </t>
  </si>
  <si>
    <t>object</t>
  </si>
  <si>
    <t xml:space="preserve">    "params": []         </t>
  </si>
  <si>
    <t>Nếu có lỗi thì chuyển sang bước  [4. Tạo dữ liệu response cho API]</t>
  </si>
  <si>
    <t xml:space="preserve">Nếu ko tồn tại parameter này thì trả về lỗi có mã code ER001, tham số "ＩＤ" </t>
  </si>
  <si>
    <t xml:space="preserve">Nếu không tồn tại trong bảng employees.employee_id thì trả về lỗi có mã code ER014, tham số "ＩＤ" </t>
  </si>
  <si>
    <t>Nếu có lỗi khi xóa thì trả về lỗi với mã lỗi ER015 và chuyển sang bước  [4. Tạo dữ liệu response cho API]</t>
  </si>
  <si>
    <t xml:space="preserve">    "code": "ER015"           </t>
  </si>
  <si>
    <t>{code: "MSG003", params: []}</t>
  </si>
  <si>
    <t>Lấy giá trị từ No 1, No 2, No 3. Format {code: "", params: []}</t>
  </si>
  <si>
    <t>Thiết kế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</si>
</sst>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_);[Red]\(&quot;¥&quot;#,##0\)"/>
    <numFmt numFmtId="165" formatCode="&quot;¥&quot;#,##0.00_);[Red]\(&quot;¥&quot;#,##0.00\)"/>
    <numFmt numFmtId="166" formatCode="yyyy&quot;年&quot;m&quot;月&quot;d&quot;日&quot;;@"/>
    <numFmt numFmtId="167" formatCode="yyyy/mm/dd;@"/>
    <numFmt numFmtId="168" formatCode="0.0_);[Red]\(0.0\)"/>
  </numFmts>
  <fonts count="60" x14ac:knownFonts="1">
    <font>
      <sz val="11"/>
      <name val="Meiryo UI"/>
      <family val="3"/>
    </font>
    <font>
      <sz val="10"/>
      <name val="Arial"/>
      <family val="2"/>
    </font>
    <font>
      <sz val="11"/>
      <color theme="1"/>
      <name val="ＭＳ Ｐゴシック"/>
      <family val="3"/>
    </font>
    <font>
      <sz val="11"/>
      <name val="ＭＳ Ｐゴシック"/>
      <family val="3"/>
    </font>
    <font>
      <sz val="13"/>
      <color theme="1"/>
      <name val="ＭＳ Ｐゴシック"/>
      <family val="3"/>
    </font>
    <font>
      <sz val="10"/>
      <color theme="1"/>
      <name val="ＭＳ Ｐゴシック"/>
      <family val="3"/>
    </font>
    <font>
      <sz val="10"/>
      <color rgb="FFC00000"/>
      <name val="ＭＳ Ｐゴシック"/>
      <family val="3"/>
    </font>
    <font>
      <sz val="11"/>
      <color theme="1"/>
      <name val="Meiryo UI"/>
      <family val="3"/>
    </font>
    <font>
      <sz val="11"/>
      <color theme="0"/>
      <name val="Meiryo UI"/>
      <family val="3"/>
    </font>
    <font>
      <sz val="18"/>
      <name val="Meiryo UI"/>
      <family val="3"/>
    </font>
    <font>
      <b/>
      <sz val="11"/>
      <color theme="1"/>
      <name val="Meiryo UI"/>
      <family val="3"/>
    </font>
    <font>
      <b/>
      <sz val="11"/>
      <color rgb="FF000000"/>
      <name val="Meiryo UI"/>
      <family val="3"/>
    </font>
    <font>
      <sz val="11"/>
      <color rgb="FF000000"/>
      <name val="Meiryo UI"/>
      <family val="3"/>
    </font>
    <font>
      <b/>
      <sz val="11"/>
      <color rgb="FFFFFFFF"/>
      <name val="メイリオ"/>
      <family val="3"/>
    </font>
    <font>
      <b/>
      <sz val="11"/>
      <color indexed="9"/>
      <name val="メイリオ"/>
      <family val="3"/>
    </font>
    <font>
      <sz val="11"/>
      <name val="メイリオ"/>
      <family val="3"/>
    </font>
    <font>
      <b/>
      <sz val="24"/>
      <name val="Meiryo UI"/>
      <family val="3"/>
    </font>
    <font>
      <sz val="11"/>
      <color rgb="FFFFFFFF"/>
      <name val="Meiryo UI"/>
      <family val="3"/>
    </font>
    <font>
      <sz val="18"/>
      <color rgb="FF000000"/>
      <name val="Meiryo UI"/>
      <family val="3"/>
    </font>
    <font>
      <b/>
      <sz val="24"/>
      <color rgb="FF000000"/>
      <name val="Meiryo UI"/>
      <family val="3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Meiryo UI"/>
      <family val="3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FF0000"/>
      <name val="ＭＳ Ｐゴシック"/>
      <family val="3"/>
    </font>
    <font>
      <sz val="11"/>
      <color rgb="FF0000FF"/>
      <name val="Meiryo UI"/>
      <family val="3"/>
    </font>
    <font>
      <b/>
      <sz val="11"/>
      <name val="Meiryo UI"/>
      <family val="3"/>
    </font>
    <font>
      <sz val="11"/>
      <color rgb="FF0000FF"/>
      <name val="ＭＳ Ｐゴシック"/>
      <family val="3"/>
    </font>
    <font>
      <b/>
      <sz val="11"/>
      <name val="ＭＳ Ｐゴシック"/>
      <family val="3"/>
    </font>
    <font>
      <sz val="11"/>
      <color rgb="FF00B0F0"/>
      <name val="Meiryo UI"/>
      <family val="3"/>
    </font>
    <font>
      <sz val="11"/>
      <color rgb="FF00B0F0"/>
      <name val="ＭＳ Ｐゴシック"/>
      <family val="3"/>
    </font>
    <font>
      <sz val="11"/>
      <name val="Meiryo UI"/>
      <family val="2"/>
    </font>
    <font>
      <strike/>
      <sz val="11"/>
      <name val="ＭＳ Ｐゴシック"/>
      <family val="3"/>
    </font>
    <font>
      <b/>
      <sz val="14"/>
      <color rgb="FF000000"/>
      <name val="Meiryo UI"/>
      <family val="2"/>
    </font>
    <font>
      <sz val="11"/>
      <color rgb="FF000000"/>
      <name val="Meiryo UI"/>
      <family val="2"/>
    </font>
    <font>
      <b/>
      <sz val="18"/>
      <name val="Meiryo UI"/>
      <family val="2"/>
    </font>
    <font>
      <b/>
      <sz val="13"/>
      <name val="Meiryo UI"/>
      <family val="3"/>
    </font>
    <font>
      <strike/>
      <sz val="11"/>
      <color rgb="FF00CC00"/>
      <name val="ＭＳ Ｐゴシック"/>
      <family val="3"/>
    </font>
    <font>
      <sz val="11"/>
      <color rgb="FF9933FF"/>
      <name val="Meiryo UI"/>
      <family val="3"/>
    </font>
    <font>
      <sz val="11"/>
      <color rgb="FF9933FF"/>
      <name val="Meiryo UI"/>
      <family val="2"/>
    </font>
    <font>
      <sz val="11"/>
      <color rgb="FF9933FF"/>
      <name val="メイリオ"/>
      <family val="3"/>
    </font>
    <font>
      <sz val="11"/>
      <color rgb="FF009900"/>
      <name val="メイリオ"/>
      <family val="3"/>
    </font>
    <font>
      <sz val="11"/>
      <color rgb="FF0000FF"/>
      <name val="メイリオ"/>
      <family val="3"/>
    </font>
    <font>
      <sz val="11"/>
      <color rgb="FF00B0F0"/>
      <name val="メイリオ"/>
      <family val="3"/>
    </font>
    <font>
      <sz val="11"/>
      <color rgb="FFFF00FF"/>
      <name val="メイリオ"/>
      <family val="3"/>
    </font>
    <font>
      <sz val="11"/>
      <color rgb="FFC00000"/>
      <name val="メイリオ"/>
      <family val="3"/>
    </font>
    <font>
      <b/>
      <sz val="11"/>
      <color theme="1"/>
      <name val="Meiryo UI"/>
      <family val="3"/>
      <charset val="128"/>
    </font>
    <font>
      <b/>
      <sz val="11"/>
      <color theme="1"/>
      <name val="Meiryo UI"/>
      <family val="2"/>
    </font>
    <font>
      <sz val="11"/>
      <color rgb="FFFF0000"/>
      <name val="メイリオ"/>
      <family val="3"/>
    </font>
    <font>
      <sz val="11"/>
      <color rgb="FFA50021"/>
      <name val="メイリオ"/>
      <family val="3"/>
    </font>
    <font>
      <sz val="6"/>
      <name val="ＭＳ ゴシック"/>
      <family val="3"/>
      <charset val="128"/>
    </font>
    <font>
      <sz val="18"/>
      <color theme="1"/>
      <name val="Meiryo UI"/>
      <family val="3"/>
    </font>
    <font>
      <sz val="11"/>
      <color theme="1"/>
      <name val="Arial"/>
      <family val="2"/>
    </font>
    <font>
      <strike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Meiryo UI"/>
      <family val="2"/>
    </font>
    <font>
      <sz val="11"/>
      <color theme="1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0" fontId="2" fillId="0" borderId="0" applyFont="0" applyFill="0" applyBorder="0" applyProtection="0"/>
    <xf numFmtId="38" fontId="2" fillId="0" borderId="0" applyFont="0" applyFill="0" applyBorder="0" applyProtection="0"/>
    <xf numFmtId="165" fontId="2" fillId="0" borderId="0" applyFont="0" applyFill="0" applyBorder="0" applyProtection="0"/>
    <xf numFmtId="164" fontId="2" fillId="0" borderId="0" applyFont="0" applyFill="0" applyBorder="0" applyProtection="0"/>
    <xf numFmtId="9" fontId="2" fillId="0" borderId="0" applyFont="0" applyFill="0" applyBorder="0" applyProtection="0"/>
    <xf numFmtId="0" fontId="23" fillId="0" borderId="0"/>
  </cellStyleXfs>
  <cellXfs count="52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0" xfId="0" applyAlignment="1"/>
    <xf numFmtId="0" fontId="0" fillId="0" borderId="5" xfId="0" applyBorder="1" applyAlignmen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3" fillId="2" borderId="0" xfId="0" applyFont="1" applyFill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0" fontId="2" fillId="5" borderId="8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left" shrinkToFit="1"/>
    </xf>
    <xf numFmtId="14" fontId="0" fillId="0" borderId="0" xfId="0" applyNumberFormat="1" applyAlignment="1">
      <alignment horizontal="left" shrinkToFit="1"/>
    </xf>
    <xf numFmtId="2" fontId="0" fillId="0" borderId="0" xfId="0" applyNumberFormat="1" applyAlignment="1">
      <alignment horizontal="left" shrinkToFit="1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1" fillId="5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2" borderId="7" xfId="0" quotePrefix="1" applyFont="1" applyFill="1" applyBorder="1" applyAlignment="1">
      <alignment horizontal="left" vertical="center"/>
    </xf>
    <xf numFmtId="0" fontId="7" fillId="2" borderId="1" xfId="0" quotePrefix="1" applyFont="1" applyFill="1" applyBorder="1" applyAlignment="1">
      <alignment horizontal="left" vertical="center"/>
    </xf>
    <xf numFmtId="49" fontId="15" fillId="0" borderId="22" xfId="0" applyNumberFormat="1" applyFont="1" applyBorder="1">
      <alignment vertical="center"/>
    </xf>
    <xf numFmtId="49" fontId="15" fillId="0" borderId="23" xfId="0" applyNumberFormat="1" applyFont="1" applyBorder="1">
      <alignment vertical="center"/>
    </xf>
    <xf numFmtId="49" fontId="15" fillId="0" borderId="24" xfId="0" applyNumberFormat="1" applyFont="1" applyBorder="1">
      <alignment vertical="center"/>
    </xf>
    <xf numFmtId="49" fontId="15" fillId="0" borderId="25" xfId="0" applyNumberFormat="1" applyFont="1" applyBorder="1">
      <alignment vertical="center"/>
    </xf>
    <xf numFmtId="0" fontId="24" fillId="2" borderId="2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5" xfId="0" applyFont="1" applyFill="1" applyBorder="1" applyAlignment="1">
      <alignment horizontal="left" vertical="center"/>
    </xf>
    <xf numFmtId="0" fontId="27" fillId="2" borderId="0" xfId="0" applyFont="1" applyFill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0" fillId="2" borderId="0" xfId="0" applyFont="1" applyFill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3" xfId="0" quotePrefix="1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" fillId="2" borderId="9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29" fillId="5" borderId="7" xfId="0" applyFont="1" applyFill="1" applyBorder="1" applyAlignment="1">
      <alignment horizontal="left" vertical="center"/>
    </xf>
    <xf numFmtId="0" fontId="29" fillId="5" borderId="8" xfId="0" applyFont="1" applyFill="1" applyBorder="1" applyAlignment="1">
      <alignment horizontal="left" vertical="center"/>
    </xf>
    <xf numFmtId="0" fontId="29" fillId="5" borderId="1" xfId="0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3" fillId="5" borderId="8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6" borderId="1" xfId="0" applyFont="1" applyFill="1" applyBorder="1">
      <alignment vertical="center"/>
    </xf>
    <xf numFmtId="49" fontId="15" fillId="0" borderId="26" xfId="0" applyNumberFormat="1" applyFont="1" applyBorder="1">
      <alignment vertical="center"/>
    </xf>
    <xf numFmtId="49" fontId="15" fillId="0" borderId="27" xfId="0" applyNumberFormat="1" applyFont="1" applyBorder="1">
      <alignment vertical="center"/>
    </xf>
    <xf numFmtId="49" fontId="15" fillId="0" borderId="28" xfId="0" applyNumberFormat="1" applyFont="1" applyBorder="1">
      <alignment vertical="center"/>
    </xf>
    <xf numFmtId="49" fontId="15" fillId="0" borderId="29" xfId="0" applyNumberFormat="1" applyFont="1" applyBorder="1">
      <alignment vertical="center"/>
    </xf>
    <xf numFmtId="49" fontId="15" fillId="0" borderId="30" xfId="0" applyNumberFormat="1" applyFont="1" applyBorder="1">
      <alignment vertical="center"/>
    </xf>
    <xf numFmtId="0" fontId="21" fillId="0" borderId="0" xfId="0" applyFont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0" xfId="0" applyFont="1">
      <alignment vertical="center"/>
    </xf>
    <xf numFmtId="0" fontId="32" fillId="2" borderId="7" xfId="0" applyFont="1" applyFill="1" applyBorder="1" applyAlignment="1">
      <alignment horizontal="left" vertical="center"/>
    </xf>
    <xf numFmtId="0" fontId="32" fillId="2" borderId="8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33" fillId="2" borderId="8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35" fillId="2" borderId="10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21" fillId="2" borderId="7" xfId="0" applyFont="1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4" fillId="0" borderId="0" xfId="0" applyFont="1">
      <alignment vertical="center"/>
    </xf>
    <xf numFmtId="0" fontId="38" fillId="0" borderId="0" xfId="0" applyFont="1">
      <alignment vertical="center"/>
    </xf>
    <xf numFmtId="0" fontId="40" fillId="2" borderId="0" xfId="0" applyFont="1" applyFill="1" applyAlignment="1">
      <alignment horizontal="left" vertical="center"/>
    </xf>
    <xf numFmtId="0" fontId="2" fillId="2" borderId="2" xfId="0" applyFont="1" applyFill="1" applyBorder="1">
      <alignment vertical="center"/>
    </xf>
    <xf numFmtId="0" fontId="0" fillId="2" borderId="7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49" fontId="43" fillId="0" borderId="22" xfId="0" applyNumberFormat="1" applyFont="1" applyBorder="1">
      <alignment vertical="center"/>
    </xf>
    <xf numFmtId="49" fontId="43" fillId="0" borderId="23" xfId="0" applyNumberFormat="1" applyFont="1" applyBorder="1">
      <alignment vertical="center"/>
    </xf>
    <xf numFmtId="49" fontId="43" fillId="0" borderId="25" xfId="0" applyNumberFormat="1" applyFont="1" applyBorder="1">
      <alignment vertical="center"/>
    </xf>
    <xf numFmtId="0" fontId="21" fillId="2" borderId="0" xfId="0" applyFont="1" applyFill="1" applyAlignment="1">
      <alignment horizontal="left" vertical="center"/>
    </xf>
    <xf numFmtId="49" fontId="44" fillId="0" borderId="22" xfId="0" applyNumberFormat="1" applyFont="1" applyBorder="1">
      <alignment vertical="center"/>
    </xf>
    <xf numFmtId="49" fontId="45" fillId="0" borderId="22" xfId="0" applyNumberFormat="1" applyFont="1" applyBorder="1">
      <alignment vertical="center"/>
    </xf>
    <xf numFmtId="49" fontId="45" fillId="0" borderId="23" xfId="0" applyNumberFormat="1" applyFont="1" applyBorder="1">
      <alignment vertical="center"/>
    </xf>
    <xf numFmtId="49" fontId="45" fillId="0" borderId="24" xfId="0" applyNumberFormat="1" applyFont="1" applyBorder="1">
      <alignment vertical="center"/>
    </xf>
    <xf numFmtId="49" fontId="45" fillId="0" borderId="25" xfId="0" applyNumberFormat="1" applyFont="1" applyBorder="1">
      <alignment vertical="center"/>
    </xf>
    <xf numFmtId="49" fontId="46" fillId="0" borderId="22" xfId="0" applyNumberFormat="1" applyFont="1" applyBorder="1">
      <alignment vertical="center"/>
    </xf>
    <xf numFmtId="49" fontId="46" fillId="0" borderId="23" xfId="0" applyNumberFormat="1" applyFont="1" applyBorder="1">
      <alignment vertical="center"/>
    </xf>
    <xf numFmtId="49" fontId="46" fillId="0" borderId="24" xfId="0" applyNumberFormat="1" applyFont="1" applyBorder="1">
      <alignment vertical="center"/>
    </xf>
    <xf numFmtId="49" fontId="46" fillId="0" borderId="25" xfId="0" applyNumberFormat="1" applyFont="1" applyBorder="1">
      <alignment vertical="center"/>
    </xf>
    <xf numFmtId="49" fontId="47" fillId="0" borderId="22" xfId="0" applyNumberFormat="1" applyFont="1" applyBorder="1">
      <alignment vertical="center"/>
    </xf>
    <xf numFmtId="49" fontId="48" fillId="0" borderId="22" xfId="0" applyNumberFormat="1" applyFont="1" applyBorder="1">
      <alignment vertical="center"/>
    </xf>
    <xf numFmtId="49" fontId="48" fillId="0" borderId="23" xfId="0" applyNumberFormat="1" applyFont="1" applyBorder="1">
      <alignment vertical="center"/>
    </xf>
    <xf numFmtId="49" fontId="48" fillId="0" borderId="25" xfId="0" applyNumberFormat="1" applyFont="1" applyBorder="1">
      <alignment vertical="center"/>
    </xf>
    <xf numFmtId="0" fontId="49" fillId="2" borderId="0" xfId="0" applyFont="1" applyFill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49" fontId="51" fillId="0" borderId="22" xfId="0" applyNumberFormat="1" applyFont="1" applyBorder="1">
      <alignment vertical="center"/>
    </xf>
    <xf numFmtId="0" fontId="28" fillId="0" borderId="2" xfId="0" applyFont="1" applyBorder="1" applyAlignment="1"/>
    <xf numFmtId="0" fontId="28" fillId="0" borderId="5" xfId="0" applyFont="1" applyBorder="1" applyAlignment="1"/>
    <xf numFmtId="49" fontId="52" fillId="0" borderId="22" xfId="0" applyNumberFormat="1" applyFont="1" applyBorder="1">
      <alignment vertical="center"/>
    </xf>
    <xf numFmtId="49" fontId="52" fillId="0" borderId="23" xfId="0" applyNumberFormat="1" applyFont="1" applyBorder="1">
      <alignment vertical="center"/>
    </xf>
    <xf numFmtId="49" fontId="52" fillId="0" borderId="24" xfId="0" applyNumberFormat="1" applyFont="1" applyBorder="1">
      <alignment vertical="center"/>
    </xf>
    <xf numFmtId="49" fontId="52" fillId="0" borderId="25" xfId="0" applyNumberFormat="1" applyFont="1" applyBorder="1">
      <alignment vertical="center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22" fillId="2" borderId="1" xfId="0" applyFont="1" applyFill="1" applyBorder="1" applyAlignment="1">
      <alignment horizontal="left"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6" xfId="0" applyFont="1" applyBorder="1">
      <alignment vertical="center"/>
    </xf>
    <xf numFmtId="0" fontId="21" fillId="0" borderId="2" xfId="0" applyFont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49" fontId="21" fillId="2" borderId="0" xfId="0" applyNumberFormat="1" applyFont="1" applyFill="1">
      <alignment vertical="center"/>
    </xf>
    <xf numFmtId="0" fontId="21" fillId="8" borderId="7" xfId="0" applyFont="1" applyFill="1" applyBorder="1" applyAlignment="1">
      <alignment horizontal="centerContinuous" vertical="center"/>
    </xf>
    <xf numFmtId="0" fontId="21" fillId="8" borderId="8" xfId="0" applyFont="1" applyFill="1" applyBorder="1" applyAlignment="1">
      <alignment horizontal="centerContinuous" vertical="center"/>
    </xf>
    <xf numFmtId="0" fontId="21" fillId="8" borderId="1" xfId="0" applyFont="1" applyFill="1" applyBorder="1" applyAlignment="1">
      <alignment horizontal="centerContinuous" vertical="center"/>
    </xf>
    <xf numFmtId="0" fontId="21" fillId="8" borderId="34" xfId="0" applyFont="1" applyFill="1" applyBorder="1" applyAlignment="1">
      <alignment horizontal="centerContinuous" vertical="center"/>
    </xf>
    <xf numFmtId="0" fontId="21" fillId="8" borderId="35" xfId="0" applyFont="1" applyFill="1" applyBorder="1" applyAlignment="1">
      <alignment horizontal="centerContinuous" vertical="center"/>
    </xf>
    <xf numFmtId="0" fontId="21" fillId="0" borderId="7" xfId="0" applyFont="1" applyBorder="1" applyAlignment="1">
      <alignment horizontal="centerContinuous" vertical="center"/>
    </xf>
    <xf numFmtId="0" fontId="21" fillId="2" borderId="8" xfId="0" applyFont="1" applyFill="1" applyBorder="1" applyAlignment="1">
      <alignment horizontal="centerContinuous" vertical="center"/>
    </xf>
    <xf numFmtId="0" fontId="21" fillId="2" borderId="35" xfId="0" applyFont="1" applyFill="1" applyBorder="1" applyAlignment="1">
      <alignment horizontal="centerContinuous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Continuous" vertical="center"/>
    </xf>
    <xf numFmtId="0" fontId="21" fillId="0" borderId="0" xfId="0" applyFont="1" applyAlignment="1">
      <alignment horizontal="centerContinuous" vertical="center"/>
    </xf>
    <xf numFmtId="0" fontId="21" fillId="2" borderId="0" xfId="0" applyFont="1" applyFill="1" applyAlignment="1">
      <alignment horizontal="centerContinuous" vertical="center"/>
    </xf>
    <xf numFmtId="0" fontId="21" fillId="2" borderId="0" xfId="0" quotePrefix="1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>
      <alignment vertical="center"/>
    </xf>
    <xf numFmtId="0" fontId="21" fillId="2" borderId="1" xfId="0" applyFont="1" applyFill="1" applyBorder="1">
      <alignment vertical="center"/>
    </xf>
    <xf numFmtId="0" fontId="21" fillId="2" borderId="8" xfId="0" applyFont="1" applyFill="1" applyBorder="1">
      <alignment vertical="center"/>
    </xf>
    <xf numFmtId="0" fontId="21" fillId="8" borderId="1" xfId="0" applyFont="1" applyFill="1" applyBorder="1">
      <alignment vertical="center"/>
    </xf>
    <xf numFmtId="0" fontId="21" fillId="8" borderId="8" xfId="0" applyFont="1" applyFill="1" applyBorder="1">
      <alignment vertical="center"/>
    </xf>
    <xf numFmtId="0" fontId="21" fillId="8" borderId="7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31" xfId="0" applyFont="1" applyBorder="1">
      <alignment vertical="center"/>
    </xf>
    <xf numFmtId="0" fontId="56" fillId="8" borderId="1" xfId="0" applyFont="1" applyFill="1" applyBorder="1">
      <alignment vertical="center"/>
    </xf>
    <xf numFmtId="0" fontId="56" fillId="2" borderId="1" xfId="0" applyFont="1" applyFill="1" applyBorder="1">
      <alignment vertical="center"/>
    </xf>
    <xf numFmtId="0" fontId="7" fillId="0" borderId="2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7" fillId="0" borderId="0" xfId="0" quotePrefix="1" applyFont="1" applyAlignment="1">
      <alignment horizontal="left" vertical="center"/>
    </xf>
    <xf numFmtId="0" fontId="58" fillId="2" borderId="0" xfId="0" applyFont="1" applyFill="1" applyAlignment="1">
      <alignment horizontal="left" vertical="center"/>
    </xf>
    <xf numFmtId="0" fontId="24" fillId="0" borderId="4" xfId="0" applyFont="1" applyBorder="1">
      <alignment vertical="center"/>
    </xf>
    <xf numFmtId="0" fontId="50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59" fillId="2" borderId="0" xfId="0" applyFont="1" applyFill="1" applyAlignment="1">
      <alignment horizontal="left" vertical="center"/>
    </xf>
    <xf numFmtId="0" fontId="7" fillId="0" borderId="3" xfId="0" quotePrefix="1" applyFont="1" applyBorder="1">
      <alignment vertical="center"/>
    </xf>
    <xf numFmtId="0" fontId="57" fillId="0" borderId="0" xfId="0" applyFont="1">
      <alignment vertical="center"/>
    </xf>
    <xf numFmtId="0" fontId="21" fillId="0" borderId="0" xfId="0" quotePrefix="1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45" fillId="0" borderId="9" xfId="0" applyNumberFormat="1" applyFont="1" applyBorder="1" applyAlignment="1">
      <alignment horizontal="left" vertical="center"/>
    </xf>
    <xf numFmtId="167" fontId="45" fillId="0" borderId="10" xfId="0" applyNumberFormat="1" applyFont="1" applyBorder="1" applyAlignment="1">
      <alignment horizontal="left" vertical="center"/>
    </xf>
    <xf numFmtId="167" fontId="45" fillId="0" borderId="11" xfId="0" applyNumberFormat="1" applyFont="1" applyBorder="1" applyAlignment="1">
      <alignment horizontal="left" vertical="center"/>
    </xf>
    <xf numFmtId="167" fontId="45" fillId="0" borderId="3" xfId="0" applyNumberFormat="1" applyFont="1" applyBorder="1" applyAlignment="1">
      <alignment horizontal="left" vertical="center"/>
    </xf>
    <xf numFmtId="167" fontId="45" fillId="0" borderId="4" xfId="0" applyNumberFormat="1" applyFont="1" applyBorder="1" applyAlignment="1">
      <alignment horizontal="left" vertical="center"/>
    </xf>
    <xf numFmtId="167" fontId="45" fillId="0" borderId="6" xfId="0" applyNumberFormat="1" applyFont="1" applyBorder="1" applyAlignment="1">
      <alignment horizontal="left" vertical="center"/>
    </xf>
    <xf numFmtId="49" fontId="45" fillId="0" borderId="9" xfId="0" applyNumberFormat="1" applyFont="1" applyBorder="1" applyAlignment="1">
      <alignment horizontal="left" vertical="center"/>
    </xf>
    <xf numFmtId="0" fontId="45" fillId="0" borderId="10" xfId="0" applyFont="1" applyBorder="1" applyAlignment="1">
      <alignment horizontal="left" vertical="center"/>
    </xf>
    <xf numFmtId="0" fontId="45" fillId="0" borderId="11" xfId="0" applyFont="1" applyBorder="1" applyAlignment="1">
      <alignment horizontal="left" vertical="center"/>
    </xf>
    <xf numFmtId="0" fontId="45" fillId="0" borderId="3" xfId="0" applyFont="1" applyBorder="1" applyAlignment="1">
      <alignment horizontal="left" vertical="center"/>
    </xf>
    <xf numFmtId="0" fontId="45" fillId="0" borderId="4" xfId="0" applyFont="1" applyBorder="1" applyAlignment="1">
      <alignment horizontal="left" vertical="center"/>
    </xf>
    <xf numFmtId="0" fontId="45" fillId="0" borderId="6" xfId="0" applyFont="1" applyBorder="1" applyAlignment="1">
      <alignment horizontal="left" vertical="center"/>
    </xf>
    <xf numFmtId="168" fontId="45" fillId="0" borderId="9" xfId="0" applyNumberFormat="1" applyFont="1" applyBorder="1" applyAlignment="1">
      <alignment horizontal="center" vertical="center"/>
    </xf>
    <xf numFmtId="168" fontId="45" fillId="0" borderId="10" xfId="0" applyNumberFormat="1" applyFont="1" applyBorder="1" applyAlignment="1">
      <alignment horizontal="center" vertical="center"/>
    </xf>
    <xf numFmtId="168" fontId="45" fillId="0" borderId="11" xfId="0" applyNumberFormat="1" applyFont="1" applyBorder="1" applyAlignment="1">
      <alignment horizontal="center" vertical="center"/>
    </xf>
    <xf numFmtId="168" fontId="45" fillId="0" borderId="3" xfId="0" applyNumberFormat="1" applyFont="1" applyBorder="1" applyAlignment="1">
      <alignment horizontal="center" vertical="center"/>
    </xf>
    <xf numFmtId="168" fontId="45" fillId="0" borderId="4" xfId="0" applyNumberFormat="1" applyFont="1" applyBorder="1" applyAlignment="1">
      <alignment horizontal="center" vertical="center"/>
    </xf>
    <xf numFmtId="168" fontId="45" fillId="0" borderId="6" xfId="0" applyNumberFormat="1" applyFont="1" applyBorder="1" applyAlignment="1">
      <alignment horizontal="center" vertical="center"/>
    </xf>
    <xf numFmtId="49" fontId="28" fillId="0" borderId="9" xfId="0" applyNumberFormat="1" applyFont="1" applyBorder="1">
      <alignment vertical="center"/>
    </xf>
    <xf numFmtId="49" fontId="28" fillId="0" borderId="10" xfId="0" applyNumberFormat="1" applyFont="1" applyBorder="1">
      <alignment vertical="center"/>
    </xf>
    <xf numFmtId="49" fontId="28" fillId="0" borderId="11" xfId="0" applyNumberFormat="1" applyFont="1" applyBorder="1">
      <alignment vertical="center"/>
    </xf>
    <xf numFmtId="49" fontId="28" fillId="0" borderId="3" xfId="0" applyNumberFormat="1" applyFont="1" applyBorder="1">
      <alignment vertical="center"/>
    </xf>
    <xf numFmtId="49" fontId="28" fillId="0" borderId="4" xfId="0" applyNumberFormat="1" applyFont="1" applyBorder="1">
      <alignment vertical="center"/>
    </xf>
    <xf numFmtId="49" fontId="28" fillId="0" borderId="6" xfId="0" applyNumberFormat="1" applyFont="1" applyBorder="1">
      <alignment vertical="center"/>
    </xf>
    <xf numFmtId="167" fontId="51" fillId="0" borderId="9" xfId="0" applyNumberFormat="1" applyFont="1" applyBorder="1" applyAlignment="1">
      <alignment horizontal="left" vertical="center"/>
    </xf>
    <xf numFmtId="167" fontId="51" fillId="0" borderId="10" xfId="0" applyNumberFormat="1" applyFont="1" applyBorder="1" applyAlignment="1">
      <alignment horizontal="left" vertical="center"/>
    </xf>
    <xf numFmtId="167" fontId="51" fillId="0" borderId="11" xfId="0" applyNumberFormat="1" applyFont="1" applyBorder="1" applyAlignment="1">
      <alignment horizontal="left" vertical="center"/>
    </xf>
    <xf numFmtId="167" fontId="51" fillId="0" borderId="3" xfId="0" applyNumberFormat="1" applyFont="1" applyBorder="1" applyAlignment="1">
      <alignment horizontal="left" vertical="center"/>
    </xf>
    <xf numFmtId="167" fontId="51" fillId="0" borderId="4" xfId="0" applyNumberFormat="1" applyFont="1" applyBorder="1" applyAlignment="1">
      <alignment horizontal="left" vertical="center"/>
    </xf>
    <xf numFmtId="167" fontId="51" fillId="0" borderId="6" xfId="0" applyNumberFormat="1" applyFont="1" applyBorder="1" applyAlignment="1">
      <alignment horizontal="left" vertical="center"/>
    </xf>
    <xf numFmtId="49" fontId="51" fillId="0" borderId="9" xfId="0" applyNumberFormat="1" applyFont="1" applyBorder="1" applyAlignment="1">
      <alignment horizontal="left" vertical="center"/>
    </xf>
    <xf numFmtId="0" fontId="51" fillId="0" borderId="10" xfId="0" applyFont="1" applyBorder="1" applyAlignment="1">
      <alignment horizontal="left" vertical="center"/>
    </xf>
    <xf numFmtId="0" fontId="51" fillId="0" borderId="11" xfId="0" applyFont="1" applyBorder="1" applyAlignment="1">
      <alignment horizontal="left" vertical="center"/>
    </xf>
    <xf numFmtId="0" fontId="51" fillId="0" borderId="3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6" xfId="0" applyFont="1" applyBorder="1" applyAlignment="1">
      <alignment horizontal="left" vertical="center"/>
    </xf>
    <xf numFmtId="168" fontId="51" fillId="0" borderId="9" xfId="0" applyNumberFormat="1" applyFont="1" applyBorder="1" applyAlignment="1">
      <alignment horizontal="center" vertical="center"/>
    </xf>
    <xf numFmtId="168" fontId="51" fillId="0" borderId="10" xfId="0" applyNumberFormat="1" applyFont="1" applyBorder="1" applyAlignment="1">
      <alignment horizontal="center" vertical="center"/>
    </xf>
    <xf numFmtId="168" fontId="51" fillId="0" borderId="11" xfId="0" applyNumberFormat="1" applyFont="1" applyBorder="1" applyAlignment="1">
      <alignment horizontal="center" vertical="center"/>
    </xf>
    <xf numFmtId="168" fontId="51" fillId="0" borderId="3" xfId="0" applyNumberFormat="1" applyFont="1" applyBorder="1" applyAlignment="1">
      <alignment horizontal="center" vertical="center"/>
    </xf>
    <xf numFmtId="168" fontId="51" fillId="0" borderId="4" xfId="0" applyNumberFormat="1" applyFont="1" applyBorder="1" applyAlignment="1">
      <alignment horizontal="center" vertical="center"/>
    </xf>
    <xf numFmtId="168" fontId="51" fillId="0" borderId="6" xfId="0" applyNumberFormat="1" applyFont="1" applyBorder="1" applyAlignment="1">
      <alignment horizontal="center" vertical="center"/>
    </xf>
    <xf numFmtId="167" fontId="48" fillId="0" borderId="9" xfId="0" applyNumberFormat="1" applyFont="1" applyBorder="1" applyAlignment="1">
      <alignment horizontal="left" vertical="center"/>
    </xf>
    <xf numFmtId="167" fontId="48" fillId="0" borderId="10" xfId="0" applyNumberFormat="1" applyFont="1" applyBorder="1" applyAlignment="1">
      <alignment horizontal="left" vertical="center"/>
    </xf>
    <xf numFmtId="167" fontId="48" fillId="0" borderId="11" xfId="0" applyNumberFormat="1" applyFont="1" applyBorder="1" applyAlignment="1">
      <alignment horizontal="left" vertical="center"/>
    </xf>
    <xf numFmtId="167" fontId="48" fillId="0" borderId="3" xfId="0" applyNumberFormat="1" applyFont="1" applyBorder="1" applyAlignment="1">
      <alignment horizontal="left" vertical="center"/>
    </xf>
    <xf numFmtId="167" fontId="48" fillId="0" borderId="4" xfId="0" applyNumberFormat="1" applyFont="1" applyBorder="1" applyAlignment="1">
      <alignment horizontal="left" vertical="center"/>
    </xf>
    <xf numFmtId="167" fontId="48" fillId="0" borderId="6" xfId="0" applyNumberFormat="1" applyFont="1" applyBorder="1" applyAlignment="1">
      <alignment horizontal="left" vertical="center"/>
    </xf>
    <xf numFmtId="49" fontId="48" fillId="0" borderId="9" xfId="0" applyNumberFormat="1" applyFont="1" applyBorder="1" applyAlignment="1">
      <alignment horizontal="left" vertical="center"/>
    </xf>
    <xf numFmtId="0" fontId="48" fillId="0" borderId="10" xfId="0" applyFont="1" applyBorder="1" applyAlignment="1">
      <alignment horizontal="left" vertical="center"/>
    </xf>
    <xf numFmtId="0" fontId="48" fillId="0" borderId="11" xfId="0" applyFont="1" applyBorder="1" applyAlignment="1">
      <alignment horizontal="left" vertical="center"/>
    </xf>
    <xf numFmtId="0" fontId="48" fillId="0" borderId="3" xfId="0" applyFont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0" fontId="48" fillId="0" borderId="6" xfId="0" applyFont="1" applyBorder="1" applyAlignment="1">
      <alignment horizontal="left" vertical="center"/>
    </xf>
    <xf numFmtId="168" fontId="48" fillId="0" borderId="9" xfId="0" applyNumberFormat="1" applyFont="1" applyBorder="1" applyAlignment="1">
      <alignment horizontal="center" vertical="center"/>
    </xf>
    <xf numFmtId="168" fontId="48" fillId="0" borderId="10" xfId="0" applyNumberFormat="1" applyFont="1" applyBorder="1" applyAlignment="1">
      <alignment horizontal="center" vertical="center"/>
    </xf>
    <xf numFmtId="168" fontId="48" fillId="0" borderId="11" xfId="0" applyNumberFormat="1" applyFont="1" applyBorder="1" applyAlignment="1">
      <alignment horizontal="center" vertical="center"/>
    </xf>
    <xf numFmtId="168" fontId="48" fillId="0" borderId="3" xfId="0" applyNumberFormat="1" applyFont="1" applyBorder="1" applyAlignment="1">
      <alignment horizontal="center" vertical="center"/>
    </xf>
    <xf numFmtId="168" fontId="48" fillId="0" borderId="4" xfId="0" applyNumberFormat="1" applyFont="1" applyBorder="1" applyAlignment="1">
      <alignment horizontal="center" vertical="center"/>
    </xf>
    <xf numFmtId="168" fontId="48" fillId="0" borderId="6" xfId="0" applyNumberFormat="1" applyFont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6" xfId="0" applyNumberFormat="1" applyBorder="1">
      <alignment vertical="center"/>
    </xf>
    <xf numFmtId="49" fontId="44" fillId="0" borderId="9" xfId="0" applyNumberFormat="1" applyFont="1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  <xf numFmtId="0" fontId="44" fillId="0" borderId="11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44" fillId="0" borderId="4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168" fontId="44" fillId="0" borderId="9" xfId="0" applyNumberFormat="1" applyFont="1" applyBorder="1" applyAlignment="1">
      <alignment horizontal="center" vertical="center"/>
    </xf>
    <xf numFmtId="168" fontId="44" fillId="0" borderId="10" xfId="0" applyNumberFormat="1" applyFont="1" applyBorder="1" applyAlignment="1">
      <alignment horizontal="center" vertical="center"/>
    </xf>
    <xf numFmtId="168" fontId="44" fillId="0" borderId="11" xfId="0" applyNumberFormat="1" applyFont="1" applyBorder="1" applyAlignment="1">
      <alignment horizontal="center" vertical="center"/>
    </xf>
    <xf numFmtId="168" fontId="44" fillId="0" borderId="3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8" fontId="44" fillId="0" borderId="6" xfId="0" applyNumberFormat="1" applyFont="1" applyBorder="1" applyAlignment="1">
      <alignment horizontal="center" vertical="center"/>
    </xf>
    <xf numFmtId="167" fontId="47" fillId="0" borderId="9" xfId="0" applyNumberFormat="1" applyFont="1" applyBorder="1" applyAlignment="1">
      <alignment horizontal="left" vertical="center"/>
    </xf>
    <xf numFmtId="167" fontId="47" fillId="0" borderId="10" xfId="0" applyNumberFormat="1" applyFont="1" applyBorder="1" applyAlignment="1">
      <alignment horizontal="left" vertical="center"/>
    </xf>
    <xf numFmtId="167" fontId="47" fillId="0" borderId="11" xfId="0" applyNumberFormat="1" applyFont="1" applyBorder="1" applyAlignment="1">
      <alignment horizontal="left" vertical="center"/>
    </xf>
    <xf numFmtId="167" fontId="47" fillId="0" borderId="3" xfId="0" applyNumberFormat="1" applyFont="1" applyBorder="1" applyAlignment="1">
      <alignment horizontal="left" vertical="center"/>
    </xf>
    <xf numFmtId="167" fontId="47" fillId="0" borderId="4" xfId="0" applyNumberFormat="1" applyFont="1" applyBorder="1" applyAlignment="1">
      <alignment horizontal="left" vertical="center"/>
    </xf>
    <xf numFmtId="167" fontId="47" fillId="0" borderId="6" xfId="0" applyNumberFormat="1" applyFont="1" applyBorder="1" applyAlignment="1">
      <alignment horizontal="left" vertical="center"/>
    </xf>
    <xf numFmtId="49" fontId="47" fillId="0" borderId="9" xfId="0" applyNumberFormat="1" applyFont="1" applyBorder="1" applyAlignment="1">
      <alignment horizontal="left" vertical="center"/>
    </xf>
    <xf numFmtId="0" fontId="47" fillId="0" borderId="10" xfId="0" applyFont="1" applyBorder="1" applyAlignment="1">
      <alignment horizontal="left" vertical="center"/>
    </xf>
    <xf numFmtId="0" fontId="47" fillId="0" borderId="11" xfId="0" applyFont="1" applyBorder="1" applyAlignment="1">
      <alignment horizontal="left" vertical="center"/>
    </xf>
    <xf numFmtId="0" fontId="47" fillId="0" borderId="3" xfId="0" applyFont="1" applyBorder="1" applyAlignment="1">
      <alignment horizontal="left" vertical="center"/>
    </xf>
    <xf numFmtId="0" fontId="47" fillId="0" borderId="4" xfId="0" applyFont="1" applyBorder="1" applyAlignment="1">
      <alignment horizontal="left" vertical="center"/>
    </xf>
    <xf numFmtId="0" fontId="47" fillId="0" borderId="6" xfId="0" applyFont="1" applyBorder="1" applyAlignment="1">
      <alignment horizontal="left" vertical="center"/>
    </xf>
    <xf numFmtId="168" fontId="47" fillId="0" borderId="9" xfId="0" applyNumberFormat="1" applyFont="1" applyBorder="1" applyAlignment="1">
      <alignment horizontal="center" vertical="center"/>
    </xf>
    <xf numFmtId="168" fontId="47" fillId="0" borderId="10" xfId="0" applyNumberFormat="1" applyFont="1" applyBorder="1" applyAlignment="1">
      <alignment horizontal="center" vertical="center"/>
    </xf>
    <xf numFmtId="168" fontId="47" fillId="0" borderId="11" xfId="0" applyNumberFormat="1" applyFont="1" applyBorder="1" applyAlignment="1">
      <alignment horizontal="center" vertical="center"/>
    </xf>
    <xf numFmtId="168" fontId="47" fillId="0" borderId="3" xfId="0" applyNumberFormat="1" applyFont="1" applyBorder="1" applyAlignment="1">
      <alignment horizontal="center" vertical="center"/>
    </xf>
    <xf numFmtId="168" fontId="47" fillId="0" borderId="4" xfId="0" applyNumberFormat="1" applyFont="1" applyBorder="1" applyAlignment="1">
      <alignment horizontal="center" vertical="center"/>
    </xf>
    <xf numFmtId="168" fontId="47" fillId="0" borderId="6" xfId="0" applyNumberFormat="1" applyFont="1" applyBorder="1" applyAlignment="1">
      <alignment horizontal="center" vertical="center"/>
    </xf>
    <xf numFmtId="167" fontId="46" fillId="0" borderId="9" xfId="0" applyNumberFormat="1" applyFont="1" applyBorder="1" applyAlignment="1">
      <alignment horizontal="left" vertical="center"/>
    </xf>
    <xf numFmtId="167" fontId="46" fillId="0" borderId="10" xfId="0" applyNumberFormat="1" applyFont="1" applyBorder="1" applyAlignment="1">
      <alignment horizontal="left" vertical="center"/>
    </xf>
    <xf numFmtId="167" fontId="46" fillId="0" borderId="11" xfId="0" applyNumberFormat="1" applyFont="1" applyBorder="1" applyAlignment="1">
      <alignment horizontal="left" vertical="center"/>
    </xf>
    <xf numFmtId="167" fontId="46" fillId="0" borderId="3" xfId="0" applyNumberFormat="1" applyFont="1" applyBorder="1" applyAlignment="1">
      <alignment horizontal="left" vertical="center"/>
    </xf>
    <xf numFmtId="167" fontId="46" fillId="0" borderId="4" xfId="0" applyNumberFormat="1" applyFont="1" applyBorder="1" applyAlignment="1">
      <alignment horizontal="left" vertical="center"/>
    </xf>
    <xf numFmtId="167" fontId="46" fillId="0" borderId="6" xfId="0" applyNumberFormat="1" applyFont="1" applyBorder="1" applyAlignment="1">
      <alignment horizontal="left" vertical="center"/>
    </xf>
    <xf numFmtId="49" fontId="46" fillId="0" borderId="9" xfId="0" applyNumberFormat="1" applyFont="1" applyBorder="1" applyAlignment="1">
      <alignment horizontal="left" vertical="center"/>
    </xf>
    <xf numFmtId="0" fontId="46" fillId="0" borderId="10" xfId="0" applyFont="1" applyBorder="1" applyAlignment="1">
      <alignment horizontal="left" vertical="center"/>
    </xf>
    <xf numFmtId="0" fontId="46" fillId="0" borderId="11" xfId="0" applyFont="1" applyBorder="1" applyAlignment="1">
      <alignment horizontal="left" vertical="center"/>
    </xf>
    <xf numFmtId="0" fontId="46" fillId="0" borderId="3" xfId="0" applyFont="1" applyBorder="1" applyAlignment="1">
      <alignment horizontal="left" vertical="center"/>
    </xf>
    <xf numFmtId="0" fontId="46" fillId="0" borderId="4" xfId="0" applyFont="1" applyBorder="1" applyAlignment="1">
      <alignment horizontal="left" vertical="center"/>
    </xf>
    <xf numFmtId="0" fontId="46" fillId="0" borderId="6" xfId="0" applyFont="1" applyBorder="1" applyAlignment="1">
      <alignment horizontal="left" vertical="center"/>
    </xf>
    <xf numFmtId="167" fontId="44" fillId="0" borderId="9" xfId="0" applyNumberFormat="1" applyFont="1" applyBorder="1" applyAlignment="1">
      <alignment horizontal="left" vertical="center"/>
    </xf>
    <xf numFmtId="167" fontId="44" fillId="0" borderId="10" xfId="0" applyNumberFormat="1" applyFont="1" applyBorder="1" applyAlignment="1">
      <alignment horizontal="left" vertical="center"/>
    </xf>
    <xf numFmtId="167" fontId="44" fillId="0" borderId="11" xfId="0" applyNumberFormat="1" applyFont="1" applyBorder="1" applyAlignment="1">
      <alignment horizontal="left" vertical="center"/>
    </xf>
    <xf numFmtId="167" fontId="44" fillId="0" borderId="3" xfId="0" applyNumberFormat="1" applyFont="1" applyBorder="1" applyAlignment="1">
      <alignment horizontal="left" vertical="center"/>
    </xf>
    <xf numFmtId="167" fontId="44" fillId="0" borderId="4" xfId="0" applyNumberFormat="1" applyFont="1" applyBorder="1" applyAlignment="1">
      <alignment horizontal="left" vertical="center"/>
    </xf>
    <xf numFmtId="167" fontId="44" fillId="0" borderId="6" xfId="0" applyNumberFormat="1" applyFont="1" applyBorder="1" applyAlignment="1">
      <alignment horizontal="left" vertical="center"/>
    </xf>
    <xf numFmtId="168" fontId="46" fillId="0" borderId="9" xfId="0" applyNumberFormat="1" applyFont="1" applyBorder="1" applyAlignment="1">
      <alignment horizontal="center" vertical="center"/>
    </xf>
    <xf numFmtId="168" fontId="46" fillId="0" borderId="10" xfId="0" applyNumberFormat="1" applyFont="1" applyBorder="1" applyAlignment="1">
      <alignment horizontal="center" vertical="center"/>
    </xf>
    <xf numFmtId="168" fontId="46" fillId="0" borderId="11" xfId="0" applyNumberFormat="1" applyFont="1" applyBorder="1" applyAlignment="1">
      <alignment horizontal="center" vertical="center"/>
    </xf>
    <xf numFmtId="168" fontId="46" fillId="0" borderId="3" xfId="0" applyNumberFormat="1" applyFont="1" applyBorder="1" applyAlignment="1">
      <alignment horizontal="center" vertical="center"/>
    </xf>
    <xf numFmtId="168" fontId="46" fillId="0" borderId="4" xfId="0" applyNumberFormat="1" applyFont="1" applyBorder="1" applyAlignment="1">
      <alignment horizontal="center" vertical="center"/>
    </xf>
    <xf numFmtId="168" fontId="46" fillId="0" borderId="6" xfId="0" applyNumberFormat="1" applyFont="1" applyBorder="1" applyAlignment="1">
      <alignment horizontal="center" vertical="center"/>
    </xf>
    <xf numFmtId="49" fontId="43" fillId="0" borderId="9" xfId="0" applyNumberFormat="1" applyFont="1" applyBorder="1" applyAlignment="1">
      <alignment horizontal="left" vertical="center"/>
    </xf>
    <xf numFmtId="0" fontId="43" fillId="0" borderId="10" xfId="0" applyFont="1" applyBorder="1" applyAlignment="1">
      <alignment horizontal="left" vertical="center"/>
    </xf>
    <xf numFmtId="0" fontId="43" fillId="0" borderId="11" xfId="0" applyFont="1" applyBorder="1" applyAlignment="1">
      <alignment horizontal="left" vertical="center"/>
    </xf>
    <xf numFmtId="0" fontId="43" fillId="0" borderId="3" xfId="0" applyFont="1" applyBorder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0" fontId="43" fillId="0" borderId="6" xfId="0" applyFont="1" applyBorder="1" applyAlignment="1">
      <alignment horizontal="left" vertical="center"/>
    </xf>
    <xf numFmtId="168" fontId="43" fillId="0" borderId="9" xfId="0" applyNumberFormat="1" applyFont="1" applyBorder="1" applyAlignment="1">
      <alignment horizontal="center" vertical="center"/>
    </xf>
    <xf numFmtId="168" fontId="43" fillId="0" borderId="10" xfId="0" applyNumberFormat="1" applyFont="1" applyBorder="1" applyAlignment="1">
      <alignment horizontal="center" vertical="center"/>
    </xf>
    <xf numFmtId="168" fontId="43" fillId="0" borderId="11" xfId="0" applyNumberFormat="1" applyFont="1" applyBorder="1" applyAlignment="1">
      <alignment horizontal="center" vertical="center"/>
    </xf>
    <xf numFmtId="168" fontId="43" fillId="0" borderId="3" xfId="0" applyNumberFormat="1" applyFont="1" applyBorder="1" applyAlignment="1">
      <alignment horizontal="center" vertical="center"/>
    </xf>
    <xf numFmtId="168" fontId="43" fillId="0" borderId="4" xfId="0" applyNumberFormat="1" applyFont="1" applyBorder="1" applyAlignment="1">
      <alignment horizontal="center" vertical="center"/>
    </xf>
    <xf numFmtId="168" fontId="43" fillId="0" borderId="6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8" fontId="15" fillId="0" borderId="9" xfId="0" applyNumberFormat="1" applyFont="1" applyBorder="1" applyAlignment="1">
      <alignment horizontal="center" vertical="center"/>
    </xf>
    <xf numFmtId="168" fontId="15" fillId="0" borderId="10" xfId="0" applyNumberFormat="1" applyFont="1" applyBorder="1" applyAlignment="1">
      <alignment horizontal="center" vertical="center"/>
    </xf>
    <xf numFmtId="168" fontId="15" fillId="0" borderId="11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center" vertical="center"/>
    </xf>
    <xf numFmtId="168" fontId="15" fillId="0" borderId="4" xfId="0" applyNumberFormat="1" applyFont="1" applyBorder="1" applyAlignment="1">
      <alignment horizontal="center" vertical="center"/>
    </xf>
    <xf numFmtId="168" fontId="15" fillId="0" borderId="6" xfId="0" applyNumberFormat="1" applyFont="1" applyBorder="1" applyAlignment="1">
      <alignment horizontal="center" vertical="center"/>
    </xf>
    <xf numFmtId="168" fontId="15" fillId="0" borderId="2" xfId="0" applyNumberFormat="1" applyFont="1" applyBorder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167" fontId="15" fillId="0" borderId="9" xfId="0" applyNumberFormat="1" applyFont="1" applyBorder="1" applyAlignment="1">
      <alignment horizontal="left" vertical="center"/>
    </xf>
    <xf numFmtId="167" fontId="15" fillId="0" borderId="10" xfId="0" applyNumberFormat="1" applyFont="1" applyBorder="1" applyAlignment="1">
      <alignment horizontal="left" vertical="center"/>
    </xf>
    <xf numFmtId="167" fontId="15" fillId="0" borderId="11" xfId="0" applyNumberFormat="1" applyFont="1" applyBorder="1" applyAlignment="1">
      <alignment horizontal="left" vertical="center"/>
    </xf>
    <xf numFmtId="167" fontId="15" fillId="0" borderId="2" xfId="0" applyNumberFormat="1" applyFont="1" applyBorder="1" applyAlignment="1">
      <alignment horizontal="left" vertical="center"/>
    </xf>
    <xf numFmtId="167" fontId="15" fillId="0" borderId="0" xfId="0" applyNumberFormat="1" applyFont="1" applyAlignment="1">
      <alignment horizontal="left" vertical="center"/>
    </xf>
    <xf numFmtId="167" fontId="15" fillId="0" borderId="5" xfId="0" applyNumberFormat="1" applyFont="1" applyBorder="1" applyAlignment="1">
      <alignment horizontal="left" vertical="center"/>
    </xf>
    <xf numFmtId="167" fontId="15" fillId="0" borderId="3" xfId="0" applyNumberFormat="1" applyFont="1" applyBorder="1" applyAlignment="1">
      <alignment horizontal="left" vertical="center"/>
    </xf>
    <xf numFmtId="167" fontId="15" fillId="0" borderId="4" xfId="0" applyNumberFormat="1" applyFont="1" applyBorder="1" applyAlignment="1">
      <alignment horizontal="left" vertical="center"/>
    </xf>
    <xf numFmtId="167" fontId="15" fillId="0" borderId="6" xfId="0" applyNumberFormat="1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left" vertical="center" wrapText="1"/>
    </xf>
    <xf numFmtId="0" fontId="26" fillId="3" borderId="9" xfId="0" applyFont="1" applyFill="1" applyBorder="1" applyAlignment="1">
      <alignment horizontal="left" vertical="center"/>
    </xf>
    <xf numFmtId="0" fontId="26" fillId="3" borderId="10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0" fontId="26" fillId="3" borderId="11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 wrapText="1"/>
    </xf>
    <xf numFmtId="49" fontId="15" fillId="0" borderId="22" xfId="0" applyNumberFormat="1" applyFont="1" applyBorder="1" applyAlignment="1">
      <alignment horizontal="left" vertical="center" wrapText="1"/>
    </xf>
    <xf numFmtId="49" fontId="15" fillId="0" borderId="23" xfId="0" applyNumberFormat="1" applyFont="1" applyBorder="1" applyAlignment="1">
      <alignment horizontal="left" vertical="center" wrapText="1"/>
    </xf>
    <xf numFmtId="49" fontId="15" fillId="0" borderId="26" xfId="0" applyNumberFormat="1" applyFont="1" applyBorder="1" applyAlignment="1">
      <alignment horizontal="left" vertical="center" wrapText="1"/>
    </xf>
    <xf numFmtId="167" fontId="52" fillId="0" borderId="9" xfId="0" applyNumberFormat="1" applyFont="1" applyBorder="1" applyAlignment="1">
      <alignment horizontal="left" vertical="center"/>
    </xf>
    <xf numFmtId="167" fontId="52" fillId="0" borderId="10" xfId="0" applyNumberFormat="1" applyFont="1" applyBorder="1" applyAlignment="1">
      <alignment horizontal="left" vertical="center"/>
    </xf>
    <xf numFmtId="167" fontId="52" fillId="0" borderId="11" xfId="0" applyNumberFormat="1" applyFont="1" applyBorder="1" applyAlignment="1">
      <alignment horizontal="left" vertical="center"/>
    </xf>
    <xf numFmtId="167" fontId="52" fillId="0" borderId="3" xfId="0" applyNumberFormat="1" applyFont="1" applyBorder="1" applyAlignment="1">
      <alignment horizontal="left" vertical="center"/>
    </xf>
    <xf numFmtId="167" fontId="52" fillId="0" borderId="4" xfId="0" applyNumberFormat="1" applyFont="1" applyBorder="1" applyAlignment="1">
      <alignment horizontal="left" vertical="center"/>
    </xf>
    <xf numFmtId="167" fontId="52" fillId="0" borderId="6" xfId="0" applyNumberFormat="1" applyFont="1" applyBorder="1" applyAlignment="1">
      <alignment horizontal="left" vertical="center"/>
    </xf>
    <xf numFmtId="49" fontId="52" fillId="0" borderId="9" xfId="0" applyNumberFormat="1" applyFont="1" applyBorder="1" applyAlignment="1">
      <alignment horizontal="left" vertical="center"/>
    </xf>
    <xf numFmtId="0" fontId="52" fillId="0" borderId="10" xfId="0" applyFont="1" applyBorder="1" applyAlignment="1">
      <alignment horizontal="left" vertical="center"/>
    </xf>
    <xf numFmtId="0" fontId="52" fillId="0" borderId="11" xfId="0" applyFont="1" applyBorder="1" applyAlignment="1">
      <alignment horizontal="left" vertical="center"/>
    </xf>
    <xf numFmtId="0" fontId="52" fillId="0" borderId="3" xfId="0" applyFont="1" applyBorder="1" applyAlignment="1">
      <alignment horizontal="left" vertical="center"/>
    </xf>
    <xf numFmtId="0" fontId="52" fillId="0" borderId="4" xfId="0" applyFont="1" applyBorder="1" applyAlignment="1">
      <alignment horizontal="left" vertical="center"/>
    </xf>
    <xf numFmtId="0" fontId="52" fillId="0" borderId="6" xfId="0" applyFont="1" applyBorder="1" applyAlignment="1">
      <alignment horizontal="left" vertical="center"/>
    </xf>
    <xf numFmtId="168" fontId="52" fillId="0" borderId="9" xfId="0" applyNumberFormat="1" applyFont="1" applyBorder="1" applyAlignment="1">
      <alignment horizontal="center" vertical="center"/>
    </xf>
    <xf numFmtId="168" fontId="52" fillId="0" borderId="10" xfId="0" applyNumberFormat="1" applyFont="1" applyBorder="1" applyAlignment="1">
      <alignment horizontal="center" vertical="center"/>
    </xf>
    <xf numFmtId="168" fontId="52" fillId="0" borderId="11" xfId="0" applyNumberFormat="1" applyFont="1" applyBorder="1" applyAlignment="1">
      <alignment horizontal="center" vertical="center"/>
    </xf>
    <xf numFmtId="168" fontId="52" fillId="0" borderId="3" xfId="0" applyNumberFormat="1" applyFont="1" applyBorder="1" applyAlignment="1">
      <alignment horizontal="center" vertical="center"/>
    </xf>
    <xf numFmtId="168" fontId="52" fillId="0" borderId="4" xfId="0" applyNumberFormat="1" applyFont="1" applyBorder="1" applyAlignment="1">
      <alignment horizontal="center" vertical="center"/>
    </xf>
    <xf numFmtId="168" fontId="52" fillId="0" borderId="6" xfId="0" applyNumberFormat="1" applyFont="1" applyBorder="1" applyAlignment="1">
      <alignment horizontal="center" vertical="center"/>
    </xf>
    <xf numFmtId="167" fontId="43" fillId="0" borderId="9" xfId="0" applyNumberFormat="1" applyFont="1" applyBorder="1" applyAlignment="1">
      <alignment horizontal="left" vertical="center"/>
    </xf>
    <xf numFmtId="167" fontId="43" fillId="0" borderId="10" xfId="0" applyNumberFormat="1" applyFont="1" applyBorder="1" applyAlignment="1">
      <alignment horizontal="left" vertical="center"/>
    </xf>
    <xf numFmtId="167" fontId="43" fillId="0" borderId="11" xfId="0" applyNumberFormat="1" applyFont="1" applyBorder="1" applyAlignment="1">
      <alignment horizontal="left" vertical="center"/>
    </xf>
    <xf numFmtId="167" fontId="43" fillId="0" borderId="3" xfId="0" applyNumberFormat="1" applyFont="1" applyBorder="1" applyAlignment="1">
      <alignment horizontal="left" vertical="center"/>
    </xf>
    <xf numFmtId="167" fontId="43" fillId="0" borderId="4" xfId="0" applyNumberFormat="1" applyFont="1" applyBorder="1" applyAlignment="1">
      <alignment horizontal="left" vertical="center"/>
    </xf>
    <xf numFmtId="167" fontId="43" fillId="0" borderId="6" xfId="0" applyNumberFormat="1" applyFont="1" applyBorder="1" applyAlignment="1">
      <alignment horizontal="left" vertical="center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21" fillId="2" borderId="7" xfId="0" quotePrefix="1" applyFont="1" applyFill="1" applyBorder="1" applyAlignment="1">
      <alignment horizontal="left" vertical="center" wrapText="1"/>
    </xf>
    <xf numFmtId="0" fontId="21" fillId="2" borderId="1" xfId="0" quotePrefix="1" applyFont="1" applyFill="1" applyBorder="1" applyAlignment="1">
      <alignment horizontal="left" vertical="center" wrapText="1"/>
    </xf>
    <xf numFmtId="0" fontId="21" fillId="2" borderId="34" xfId="0" quotePrefix="1" applyFont="1" applyFill="1" applyBorder="1" applyAlignment="1">
      <alignment horizontal="left" vertical="center" wrapText="1"/>
    </xf>
    <xf numFmtId="0" fontId="21" fillId="2" borderId="8" xfId="0" quotePrefix="1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0" fontId="54" fillId="0" borderId="6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33" xfId="0" applyFont="1" applyBorder="1" applyAlignment="1">
      <alignment horizontal="left" vertical="center"/>
    </xf>
    <xf numFmtId="0" fontId="41" fillId="0" borderId="28" xfId="0" applyFont="1" applyBorder="1" applyAlignment="1">
      <alignment horizontal="left" vertical="center"/>
    </xf>
    <xf numFmtId="0" fontId="41" fillId="0" borderId="32" xfId="0" applyFont="1" applyBorder="1" applyAlignment="1">
      <alignment horizontal="left" vertical="center"/>
    </xf>
    <xf numFmtId="0" fontId="41" fillId="0" borderId="33" xfId="0" quotePrefix="1" applyFont="1" applyBorder="1" applyAlignment="1">
      <alignment horizontal="left" vertical="center"/>
    </xf>
    <xf numFmtId="0" fontId="41" fillId="0" borderId="28" xfId="0" quotePrefix="1" applyFont="1" applyBorder="1" applyAlignment="1">
      <alignment horizontal="left" vertical="center"/>
    </xf>
    <xf numFmtId="0" fontId="41" fillId="0" borderId="29" xfId="0" quotePrefix="1" applyFont="1" applyBorder="1" applyAlignment="1">
      <alignment horizontal="left" vertical="center"/>
    </xf>
    <xf numFmtId="0" fontId="39" fillId="7" borderId="7" xfId="0" applyFont="1" applyFill="1" applyBorder="1" applyAlignment="1">
      <alignment horizontal="center" vertical="center"/>
    </xf>
    <xf numFmtId="0" fontId="39" fillId="7" borderId="8" xfId="0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quotePrefix="1" applyBorder="1" applyAlignment="1">
      <alignment horizontal="left" vertical="center"/>
    </xf>
    <xf numFmtId="0" fontId="0" fillId="0" borderId="28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</cellXfs>
  <cellStyles count="12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  <cellStyle name="パーセント" xfId="10" xr:uid="{00000000-0005-0000-0000-000006000000}"/>
    <cellStyle name="桁区切り" xfId="7" xr:uid="{00000000-0005-0000-0000-000007000000}"/>
    <cellStyle name="桁区切り [0.00]" xfId="6" xr:uid="{00000000-0005-0000-0000-000008000000}"/>
    <cellStyle name="標準_C0001_TOP画面" xfId="11" xr:uid="{00000000-0005-0000-0000-000009000000}"/>
    <cellStyle name="通貨" xfId="9" xr:uid="{00000000-0005-0000-0000-00000B000000}"/>
    <cellStyle name="通貨 [0.00]" xfId="8" xr:uid="{00000000-0005-0000-0000-00000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A50021"/>
      <color rgb="FF00B0F0"/>
      <color rgb="FF0000FF"/>
      <color rgb="FFFF00FF"/>
      <color rgb="FF009900"/>
      <color rgb="FF9933FF"/>
      <color rgb="FF000099"/>
      <color rgb="FF3333CC"/>
      <color rgb="FF00CC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101945</xdr:colOff>
      <xdr:row>15</xdr:row>
      <xdr:rowOff>180718</xdr:rowOff>
    </xdr:from>
    <xdr:to>
      <xdr:col>20</xdr:col>
      <xdr:colOff>101945</xdr:colOff>
      <xdr:row>23</xdr:row>
      <xdr:rowOff>90354</xdr:rowOff>
    </xdr:to>
    <xdr:cxnSp macro="">
      <xdr:nvCxnSpPr>
        <xdr:cNvPr id="25" name="直線矢印コネクタ 4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stCxn id="43" idx="2"/>
          <a:endCxn id="73" idx="0"/>
        </xdr:cNvCxnSpPr>
      </xdr:nvCxnSpPr>
      <xdr:spPr>
        <a:xfrm>
          <a:off x="4808416" y="3150277"/>
          <a:ext cx="0" cy="29576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76766</xdr:colOff>
      <xdr:row>42</xdr:row>
      <xdr:rowOff>26854</xdr:rowOff>
    </xdr:from>
    <xdr:to>
      <xdr:col>24</xdr:col>
      <xdr:colOff>152524</xdr:colOff>
      <xdr:row>45</xdr:row>
      <xdr:rowOff>26854</xdr:rowOff>
    </xdr:to>
    <xdr:sp macro="" textlink="">
      <xdr:nvSpPr>
        <xdr:cNvPr id="30" name="四角形: 角を丸くする 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3937566" y="129173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4.</a:t>
          </a:r>
          <a:r>
            <a:rPr kumimoji="1" lang="vi-VN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 </a:t>
          </a:r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Tạo mảng response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195734</xdr:colOff>
      <xdr:row>7</xdr:row>
      <xdr:rowOff>109817</xdr:rowOff>
    </xdr:from>
    <xdr:to>
      <xdr:col>24</xdr:col>
      <xdr:colOff>5315</xdr:colOff>
      <xdr:row>10</xdr:row>
      <xdr:rowOff>5042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4056534" y="8809317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START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212170</xdr:colOff>
      <xdr:row>47</xdr:row>
      <xdr:rowOff>108315</xdr:rowOff>
    </xdr:from>
    <xdr:to>
      <xdr:col>24</xdr:col>
      <xdr:colOff>21751</xdr:colOff>
      <xdr:row>49</xdr:row>
      <xdr:rowOff>117840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4072970" y="14027515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END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100524</xdr:colOff>
      <xdr:row>10</xdr:row>
      <xdr:rowOff>5042</xdr:rowOff>
    </xdr:from>
    <xdr:to>
      <xdr:col>20</xdr:col>
      <xdr:colOff>101945</xdr:colOff>
      <xdr:row>12</xdr:row>
      <xdr:rowOff>180718</xdr:rowOff>
    </xdr:to>
    <xdr:cxnSp macro="">
      <xdr:nvCxnSpPr>
        <xdr:cNvPr id="36" name="直線矢印コネクタ 4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34" idx="4"/>
          <a:endCxn id="43" idx="0"/>
        </xdr:cNvCxnSpPr>
      </xdr:nvCxnSpPr>
      <xdr:spPr>
        <a:xfrm>
          <a:off x="4926524" y="9276042"/>
          <a:ext cx="1421" cy="55667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114645</xdr:colOff>
      <xdr:row>45</xdr:row>
      <xdr:rowOff>26854</xdr:rowOff>
    </xdr:from>
    <xdr:to>
      <xdr:col>20</xdr:col>
      <xdr:colOff>116961</xdr:colOff>
      <xdr:row>47</xdr:row>
      <xdr:rowOff>108315</xdr:rowOff>
    </xdr:to>
    <xdr:cxnSp macro="">
      <xdr:nvCxnSpPr>
        <xdr:cNvPr id="38" name="直線矢印コネクタ 4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30" idx="2"/>
          <a:endCxn id="35" idx="0"/>
        </xdr:cNvCxnSpPr>
      </xdr:nvCxnSpPr>
      <xdr:spPr>
        <a:xfrm>
          <a:off x="4940645" y="13488854"/>
          <a:ext cx="2316" cy="5386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64066</xdr:colOff>
      <xdr:row>12</xdr:row>
      <xdr:rowOff>180718</xdr:rowOff>
    </xdr:from>
    <xdr:to>
      <xdr:col>24</xdr:col>
      <xdr:colOff>139824</xdr:colOff>
      <xdr:row>15</xdr:row>
      <xdr:rowOff>180718</xdr:rowOff>
    </xdr:to>
    <xdr:sp macro="" textlink="">
      <xdr:nvSpPr>
        <xdr:cNvPr id="43" name="四角形: 角を丸くする 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924866" y="9832718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1</a:t>
          </a:r>
          <a:r>
            <a:rPr kumimoji="1" lang="vi-VN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. </a:t>
          </a:r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Validate parameter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64066</xdr:colOff>
      <xdr:row>23</xdr:row>
      <xdr:rowOff>90354</xdr:rowOff>
    </xdr:from>
    <xdr:to>
      <xdr:col>24</xdr:col>
      <xdr:colOff>139824</xdr:colOff>
      <xdr:row>26</xdr:row>
      <xdr:rowOff>90354</xdr:rowOff>
    </xdr:to>
    <xdr:sp macro="" textlink="">
      <xdr:nvSpPr>
        <xdr:cNvPr id="73" name="四角形: 角を丸くする 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3924866" y="103138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2. Xóa thông tin chứng chỉ tiếng Nhật của nhân viên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101945</xdr:colOff>
      <xdr:row>26</xdr:row>
      <xdr:rowOff>90354</xdr:rowOff>
    </xdr:from>
    <xdr:to>
      <xdr:col>20</xdr:col>
      <xdr:colOff>114645</xdr:colOff>
      <xdr:row>42</xdr:row>
      <xdr:rowOff>26854</xdr:rowOff>
    </xdr:to>
    <xdr:cxnSp macro="">
      <xdr:nvCxnSpPr>
        <xdr:cNvPr id="47" name="直線矢印コネクタ 42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>
          <a:cxnSpLocks/>
          <a:stCxn id="73" idx="2"/>
          <a:endCxn id="30" idx="0"/>
        </xdr:cNvCxnSpPr>
      </xdr:nvCxnSpPr>
      <xdr:spPr>
        <a:xfrm>
          <a:off x="4808416" y="6679413"/>
          <a:ext cx="12700" cy="62230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18</xdr:row>
      <xdr:rowOff>114300</xdr:rowOff>
    </xdr:from>
    <xdr:to>
      <xdr:col>11</xdr:col>
      <xdr:colOff>59821</xdr:colOff>
      <xdr:row>31</xdr:row>
      <xdr:rowOff>0</xdr:rowOff>
    </xdr:to>
    <xdr:sp macro="" textlink="">
      <xdr:nvSpPr>
        <xdr:cNvPr id="69" name="フローチャート : 磁気ディスク 369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571500" y="5194300"/>
          <a:ext cx="2142621" cy="2463800"/>
        </a:xfrm>
        <a:prstGeom prst="flowChartMagneticDisk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employee</a:t>
          </a:r>
        </a:p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employees_certifications</a:t>
          </a:r>
        </a:p>
      </xdr:txBody>
    </xdr:sp>
    <xdr:clientData/>
  </xdr:twoCellAnchor>
  <xdr:twoCellAnchor>
    <xdr:from>
      <xdr:col>11</xdr:col>
      <xdr:colOff>59821</xdr:colOff>
      <xdr:row>24</xdr:row>
      <xdr:rowOff>185604</xdr:rowOff>
    </xdr:from>
    <xdr:to>
      <xdr:col>16</xdr:col>
      <xdr:colOff>64066</xdr:colOff>
      <xdr:row>25</xdr:row>
      <xdr:rowOff>12700</xdr:rowOff>
    </xdr:to>
    <xdr:cxnSp macro="">
      <xdr:nvCxnSpPr>
        <xdr:cNvPr id="70" name="曲線コネクタ 4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stCxn id="69" idx="4"/>
          <a:endCxn id="73" idx="1"/>
        </xdr:cNvCxnSpPr>
      </xdr:nvCxnSpPr>
      <xdr:spPr>
        <a:xfrm flipV="1">
          <a:off x="2714121" y="6408604"/>
          <a:ext cx="1210745" cy="17596"/>
        </a:xfrm>
        <a:prstGeom prst="curvedConnector3">
          <a:avLst>
            <a:gd name="adj1" fmla="val 50000"/>
          </a:avLst>
        </a:prstGeom>
        <a:ln w="127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81249</xdr:colOff>
      <xdr:row>30</xdr:row>
      <xdr:rowOff>183736</xdr:rowOff>
    </xdr:from>
    <xdr:to>
      <xdr:col>24</xdr:col>
      <xdr:colOff>157007</xdr:colOff>
      <xdr:row>33</xdr:row>
      <xdr:rowOff>183736</xdr:rowOff>
    </xdr:to>
    <xdr:sp macro="" textlink="">
      <xdr:nvSpPr>
        <xdr:cNvPr id="2" name="四角形: 角を丸くする 2">
          <a:extLst>
            <a:ext uri="{FF2B5EF4-FFF2-40B4-BE49-F238E27FC236}">
              <a16:creationId xmlns:a16="http://schemas.microsoft.com/office/drawing/2014/main" id="{558B15B1-4765-402D-B2B3-929C4B24B5FE}"/>
            </a:ext>
          </a:extLst>
        </xdr:cNvPr>
        <xdr:cNvSpPr/>
      </xdr:nvSpPr>
      <xdr:spPr>
        <a:xfrm>
          <a:off x="3846425" y="6010795"/>
          <a:ext cx="1958347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3. Xóa thông tin nhân viên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33617</xdr:colOff>
      <xdr:row>25</xdr:row>
      <xdr:rowOff>112059</xdr:rowOff>
    </xdr:from>
    <xdr:to>
      <xdr:col>16</xdr:col>
      <xdr:colOff>81249</xdr:colOff>
      <xdr:row>32</xdr:row>
      <xdr:rowOff>88486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2BCD28E-CCAA-0059-12B6-BB824298F70B}"/>
            </a:ext>
          </a:extLst>
        </xdr:cNvPr>
        <xdr:cNvCxnSpPr>
          <a:stCxn id="2" idx="1"/>
        </xdr:cNvCxnSpPr>
      </xdr:nvCxnSpPr>
      <xdr:spPr>
        <a:xfrm flipH="1" flipV="1">
          <a:off x="2622176" y="4986618"/>
          <a:ext cx="1224249" cy="130992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K55"/>
  <sheetViews>
    <sheetView showGridLines="0" view="pageBreakPreview" topLeftCell="A13" zoomScaleNormal="75" zoomScaleSheetLayoutView="100" workbookViewId="0">
      <selection sqref="A1:J1"/>
    </sheetView>
  </sheetViews>
  <sheetFormatPr defaultColWidth="9" defaultRowHeight="15.75" x14ac:dyDescent="0.25"/>
  <cols>
    <col min="1" max="63" width="2.77734375" customWidth="1"/>
  </cols>
  <sheetData>
    <row r="1" spans="1:63" ht="24.95" customHeight="1" x14ac:dyDescent="0.25">
      <c r="A1" s="244" t="s">
        <v>25</v>
      </c>
      <c r="B1" s="245"/>
      <c r="C1" s="245"/>
      <c r="D1" s="245"/>
      <c r="E1" s="245"/>
      <c r="F1" s="245"/>
      <c r="G1" s="245"/>
      <c r="H1" s="245"/>
      <c r="I1" s="245"/>
      <c r="J1" s="246"/>
      <c r="K1" s="244" t="s">
        <v>26</v>
      </c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6"/>
      <c r="W1" s="247" t="s">
        <v>24</v>
      </c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9"/>
      <c r="AP1" s="244" t="s">
        <v>18</v>
      </c>
      <c r="AQ1" s="245"/>
      <c r="AR1" s="245"/>
      <c r="AS1" s="246"/>
      <c r="AT1" s="244" t="s">
        <v>19</v>
      </c>
      <c r="AU1" s="245"/>
      <c r="AV1" s="245"/>
      <c r="AW1" s="245"/>
      <c r="AX1" s="246"/>
      <c r="AY1" s="244" t="s">
        <v>20</v>
      </c>
      <c r="AZ1" s="245"/>
      <c r="BA1" s="245"/>
      <c r="BB1" s="246"/>
      <c r="BC1" s="244" t="s">
        <v>21</v>
      </c>
      <c r="BD1" s="245"/>
      <c r="BE1" s="245"/>
      <c r="BF1" s="245"/>
      <c r="BG1" s="246"/>
      <c r="BH1" s="244" t="s">
        <v>2</v>
      </c>
      <c r="BI1" s="245"/>
      <c r="BJ1" s="245"/>
      <c r="BK1" s="246"/>
    </row>
    <row r="2" spans="1:63" ht="15" customHeight="1" x14ac:dyDescent="0.25">
      <c r="A2" s="238" t="s">
        <v>74</v>
      </c>
      <c r="B2" s="239"/>
      <c r="C2" s="239"/>
      <c r="D2" s="239"/>
      <c r="E2" s="239"/>
      <c r="F2" s="239"/>
      <c r="G2" s="239"/>
      <c r="H2" s="239"/>
      <c r="I2" s="239"/>
      <c r="J2" s="240"/>
      <c r="K2" s="238" t="s">
        <v>134</v>
      </c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40"/>
      <c r="W2" s="250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2"/>
      <c r="AP2" s="260" t="s">
        <v>75</v>
      </c>
      <c r="AQ2" s="239"/>
      <c r="AR2" s="239"/>
      <c r="AS2" s="240"/>
      <c r="AT2" s="261">
        <v>44930</v>
      </c>
      <c r="AU2" s="262"/>
      <c r="AV2" s="262"/>
      <c r="AW2" s="262"/>
      <c r="AX2" s="263"/>
      <c r="AY2" s="260" t="str">
        <f>LOOKUP(2,1/('Lịch sử thay đổi'!H:H&lt;&gt;""),'Lịch sử thay đổi'!H:H)</f>
        <v>ThanhPD</v>
      </c>
      <c r="AZ2" s="239"/>
      <c r="BA2" s="239"/>
      <c r="BB2" s="240"/>
      <c r="BC2" s="261">
        <f>LOOKUP(2,1/('Lịch sử thay đổi'!B:B&lt;&gt;""),'Lịch sử thay đổi'!B:B)</f>
        <v>44930</v>
      </c>
      <c r="BD2" s="262"/>
      <c r="BE2" s="262"/>
      <c r="BF2" s="262"/>
      <c r="BG2" s="263"/>
      <c r="BH2" s="260">
        <f>LOOKUP(2,1/('Lịch sử thay đổi'!O:O&lt;&gt;""),'Lịch sử thay đổi'!O:O)</f>
        <v>0.1</v>
      </c>
      <c r="BI2" s="239"/>
      <c r="BJ2" s="239"/>
      <c r="BK2" s="240"/>
    </row>
    <row r="3" spans="1:63" ht="15" customHeight="1" x14ac:dyDescent="0.25">
      <c r="A3" s="241"/>
      <c r="B3" s="242"/>
      <c r="C3" s="242"/>
      <c r="D3" s="242"/>
      <c r="E3" s="242"/>
      <c r="F3" s="242"/>
      <c r="G3" s="242"/>
      <c r="H3" s="242"/>
      <c r="I3" s="242"/>
      <c r="J3" s="243"/>
      <c r="K3" s="241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3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41"/>
      <c r="AQ3" s="242"/>
      <c r="AR3" s="242"/>
      <c r="AS3" s="243"/>
      <c r="AT3" s="264"/>
      <c r="AU3" s="265"/>
      <c r="AV3" s="265"/>
      <c r="AW3" s="265"/>
      <c r="AX3" s="266"/>
      <c r="AY3" s="241"/>
      <c r="AZ3" s="242"/>
      <c r="BA3" s="242"/>
      <c r="BB3" s="243"/>
      <c r="BC3" s="264"/>
      <c r="BD3" s="265"/>
      <c r="BE3" s="265"/>
      <c r="BF3" s="265"/>
      <c r="BG3" s="266"/>
      <c r="BH3" s="241"/>
      <c r="BI3" s="242"/>
      <c r="BJ3" s="242"/>
      <c r="BK3" s="243"/>
    </row>
    <row r="4" spans="1:63" ht="24.95" customHeight="1" x14ac:dyDescent="0.25">
      <c r="A4" s="244" t="s">
        <v>17</v>
      </c>
      <c r="B4" s="245"/>
      <c r="C4" s="245"/>
      <c r="D4" s="245"/>
      <c r="E4" s="245"/>
      <c r="F4" s="245"/>
      <c r="G4" s="246"/>
      <c r="H4" s="259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8"/>
      <c r="U4" s="244" t="s">
        <v>22</v>
      </c>
      <c r="V4" s="245"/>
      <c r="W4" s="245"/>
      <c r="X4" s="245"/>
      <c r="Y4" s="246"/>
      <c r="Z4" s="259" t="s">
        <v>97</v>
      </c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7"/>
      <c r="AM4" s="257"/>
      <c r="AN4" s="257"/>
      <c r="AO4" s="258"/>
      <c r="AP4" s="256" t="s">
        <v>23</v>
      </c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8"/>
    </row>
    <row r="5" spans="1:63" ht="5.0999999999999996" customHeight="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 x14ac:dyDescent="0.25">
      <c r="A6" s="8"/>
      <c r="BK6" s="11"/>
    </row>
    <row r="7" spans="1:63" ht="15" customHeight="1" x14ac:dyDescent="0.25">
      <c r="A7" s="8"/>
      <c r="BK7" s="11"/>
    </row>
    <row r="8" spans="1:63" ht="15" customHeight="1" x14ac:dyDescent="0.25">
      <c r="A8" s="8"/>
      <c r="BK8" s="11"/>
    </row>
    <row r="9" spans="1:63" ht="15" customHeight="1" x14ac:dyDescent="0.25">
      <c r="A9" s="8"/>
      <c r="BK9" s="11"/>
    </row>
    <row r="10" spans="1:63" ht="15" customHeight="1" x14ac:dyDescent="0.25">
      <c r="A10" s="8"/>
      <c r="BK10" s="11"/>
    </row>
    <row r="11" spans="1:63" ht="15" customHeight="1" x14ac:dyDescent="0.25">
      <c r="A11" s="8"/>
      <c r="BK11" s="11"/>
    </row>
    <row r="12" spans="1:63" ht="15" customHeight="1" x14ac:dyDescent="0.25">
      <c r="A12" s="8"/>
      <c r="BK12" s="11"/>
    </row>
    <row r="13" spans="1:63" ht="15" customHeight="1" x14ac:dyDescent="0.25">
      <c r="A13" s="8"/>
      <c r="BK13" s="11"/>
    </row>
    <row r="14" spans="1:63" ht="15" customHeight="1" x14ac:dyDescent="0.25">
      <c r="A14" s="8"/>
      <c r="BK14" s="11"/>
    </row>
    <row r="15" spans="1:63" ht="15" customHeight="1" x14ac:dyDescent="0.25">
      <c r="A15" s="8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8"/>
      <c r="BK15" s="11"/>
    </row>
    <row r="16" spans="1:63" ht="15" customHeight="1" x14ac:dyDescent="0.25">
      <c r="A16" s="8"/>
      <c r="K16" s="13"/>
      <c r="L16" s="236" t="s">
        <v>74</v>
      </c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19"/>
      <c r="BK16" s="11"/>
    </row>
    <row r="17" spans="1:63" ht="15" customHeight="1" x14ac:dyDescent="0.25">
      <c r="A17" s="8"/>
      <c r="K17" s="13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19"/>
      <c r="BK17" s="11"/>
    </row>
    <row r="18" spans="1:63" ht="15" customHeight="1" x14ac:dyDescent="0.25">
      <c r="A18" s="8"/>
      <c r="K18" s="13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19"/>
      <c r="BK18" s="11"/>
    </row>
    <row r="19" spans="1:63" ht="15" customHeight="1" x14ac:dyDescent="0.25">
      <c r="A19" s="8"/>
      <c r="K19" s="13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19"/>
      <c r="BK19" s="11"/>
    </row>
    <row r="20" spans="1:63" ht="15" customHeight="1" x14ac:dyDescent="0.25">
      <c r="A20" s="8"/>
      <c r="K20" s="13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19"/>
      <c r="BK20" s="11"/>
    </row>
    <row r="21" spans="1:63" ht="15" customHeight="1" x14ac:dyDescent="0.25">
      <c r="A21" s="8"/>
      <c r="K21" s="13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19"/>
      <c r="BK21" s="11"/>
    </row>
    <row r="22" spans="1:63" ht="15" customHeight="1" x14ac:dyDescent="0.25">
      <c r="A22" s="8"/>
      <c r="K22" s="13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19"/>
      <c r="BK22" s="11"/>
    </row>
    <row r="23" spans="1:63" ht="15" customHeight="1" x14ac:dyDescent="0.25">
      <c r="A23" s="8"/>
      <c r="K23" s="1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19"/>
      <c r="BK23" s="11"/>
    </row>
    <row r="24" spans="1:63" ht="15" customHeight="1" x14ac:dyDescent="0.25">
      <c r="A24" s="8"/>
      <c r="K24" s="13"/>
      <c r="L24" s="237" t="str">
        <f>K2&amp;"/"&amp;H4&amp;"/"&amp;Z4</f>
        <v>Thiết kế API//Delete employee</v>
      </c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19"/>
      <c r="BK24" s="11"/>
    </row>
    <row r="25" spans="1:63" ht="15" customHeight="1" x14ac:dyDescent="0.25">
      <c r="A25" s="8"/>
      <c r="K25" s="13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19"/>
      <c r="BK25" s="11"/>
    </row>
    <row r="26" spans="1:63" ht="15" customHeight="1" x14ac:dyDescent="0.25">
      <c r="A26" s="8"/>
      <c r="K26" s="13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19"/>
      <c r="BK26" s="11"/>
    </row>
    <row r="27" spans="1:63" ht="15" customHeight="1" x14ac:dyDescent="0.25">
      <c r="A27" s="8"/>
      <c r="K27" s="13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19"/>
      <c r="BK27" s="11"/>
    </row>
    <row r="28" spans="1:63" ht="15" customHeight="1" x14ac:dyDescent="0.25">
      <c r="A28" s="8"/>
      <c r="K28" s="13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19"/>
      <c r="BK28" s="11"/>
    </row>
    <row r="29" spans="1:63" ht="15" customHeight="1" x14ac:dyDescent="0.25">
      <c r="A29" s="8"/>
      <c r="K29" s="13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19"/>
      <c r="BK29" s="11"/>
    </row>
    <row r="30" spans="1:63" ht="15" customHeight="1" x14ac:dyDescent="0.25">
      <c r="A30" s="8"/>
      <c r="K30" s="13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19"/>
      <c r="BK30" s="11"/>
    </row>
    <row r="31" spans="1:63" ht="15" customHeight="1" x14ac:dyDescent="0.25">
      <c r="A31" s="8"/>
      <c r="K31" s="13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19"/>
      <c r="BK31" s="11"/>
    </row>
    <row r="32" spans="1:63" ht="15" customHeight="1" x14ac:dyDescent="0.25">
      <c r="A32" s="8"/>
      <c r="K32" s="13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19"/>
      <c r="BK32" s="11"/>
    </row>
    <row r="33" spans="1:63" ht="15" customHeight="1" x14ac:dyDescent="0.25">
      <c r="A33" s="8"/>
      <c r="K33" s="13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19"/>
      <c r="BK33" s="11"/>
    </row>
    <row r="34" spans="1:63" ht="15" customHeight="1" x14ac:dyDescent="0.25">
      <c r="A34" s="8"/>
      <c r="K34" s="13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19"/>
      <c r="BK34" s="11"/>
    </row>
    <row r="35" spans="1:63" ht="15" customHeight="1" x14ac:dyDescent="0.25">
      <c r="A35" s="8"/>
      <c r="K35" s="13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19"/>
      <c r="BK35" s="11"/>
    </row>
    <row r="36" spans="1:63" ht="15" customHeight="1" x14ac:dyDescent="0.25">
      <c r="A36" s="8"/>
      <c r="K36" s="13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19"/>
      <c r="BK36" s="11"/>
    </row>
    <row r="37" spans="1:63" ht="15" customHeight="1" x14ac:dyDescent="0.25">
      <c r="A37" s="8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20"/>
      <c r="BK37" s="11"/>
    </row>
    <row r="38" spans="1:63" ht="15" customHeight="1" x14ac:dyDescent="0.25">
      <c r="A38" s="8"/>
      <c r="BK38" s="11"/>
    </row>
    <row r="39" spans="1:63" ht="15" customHeight="1" x14ac:dyDescent="0.25">
      <c r="A39" s="8"/>
      <c r="BK39" s="11"/>
    </row>
    <row r="40" spans="1:63" ht="15" customHeight="1" x14ac:dyDescent="0.25">
      <c r="A40" s="8"/>
      <c r="BK40" s="11"/>
    </row>
    <row r="41" spans="1:63" ht="15" customHeight="1" x14ac:dyDescent="0.25">
      <c r="A41" s="8"/>
      <c r="BK41" s="11"/>
    </row>
    <row r="42" spans="1:63" ht="15" customHeight="1" x14ac:dyDescent="0.25">
      <c r="A42" s="8"/>
      <c r="BK42" s="11"/>
    </row>
    <row r="43" spans="1:63" ht="15" customHeight="1" x14ac:dyDescent="0.25">
      <c r="A43" s="8"/>
      <c r="BK43" s="11"/>
    </row>
    <row r="44" spans="1:63" ht="15" customHeight="1" x14ac:dyDescent="0.25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267" t="s">
        <v>40</v>
      </c>
      <c r="R44" s="268"/>
      <c r="S44" s="268"/>
      <c r="T44" s="268"/>
      <c r="U44" s="268"/>
      <c r="V44" s="268"/>
      <c r="W44" s="268"/>
      <c r="X44" s="268"/>
      <c r="Y44" s="268"/>
      <c r="Z44" s="269"/>
      <c r="AA44" s="267" t="s">
        <v>41</v>
      </c>
      <c r="AB44" s="268"/>
      <c r="AC44" s="268"/>
      <c r="AD44" s="268"/>
      <c r="AE44" s="268"/>
      <c r="AF44" s="268"/>
      <c r="AG44" s="268"/>
      <c r="AH44" s="268"/>
      <c r="AI44" s="268"/>
      <c r="AJ44" s="268"/>
      <c r="AK44" s="268"/>
      <c r="AL44" s="268"/>
      <c r="AM44" s="268"/>
      <c r="AN44" s="268"/>
      <c r="AO44" s="268"/>
      <c r="AP44" s="269"/>
      <c r="AQ44" s="267" t="s">
        <v>42</v>
      </c>
      <c r="AR44" s="268"/>
      <c r="AS44" s="268"/>
      <c r="AT44" s="268"/>
      <c r="AU44" s="269"/>
      <c r="AV44" s="32"/>
      <c r="AW44" s="32"/>
      <c r="AX44" s="32"/>
      <c r="AY44" s="32"/>
      <c r="AZ44" s="32"/>
      <c r="BA44" s="32"/>
      <c r="BB44" s="32"/>
      <c r="BK44" s="11"/>
    </row>
    <row r="45" spans="1:63" ht="15" customHeight="1" x14ac:dyDescent="0.25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270"/>
      <c r="R45" s="271"/>
      <c r="S45" s="271"/>
      <c r="T45" s="271"/>
      <c r="U45" s="271"/>
      <c r="V45" s="271"/>
      <c r="W45" s="271"/>
      <c r="X45" s="271"/>
      <c r="Y45" s="271"/>
      <c r="Z45" s="272"/>
      <c r="AA45" s="270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2"/>
      <c r="AQ45" s="270"/>
      <c r="AR45" s="271"/>
      <c r="AS45" s="271"/>
      <c r="AT45" s="271"/>
      <c r="AU45" s="272"/>
      <c r="AV45" s="32"/>
      <c r="AW45" s="32"/>
      <c r="AX45" s="32"/>
      <c r="AY45" s="32"/>
      <c r="AZ45" s="32"/>
      <c r="BA45" s="32"/>
      <c r="BB45" s="32"/>
      <c r="BK45" s="11"/>
    </row>
    <row r="46" spans="1:63" ht="15" customHeight="1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260"/>
      <c r="R46" s="239"/>
      <c r="S46" s="239"/>
      <c r="T46" s="239"/>
      <c r="U46" s="239"/>
      <c r="V46" s="239"/>
      <c r="W46" s="239"/>
      <c r="X46" s="239"/>
      <c r="Y46" s="239"/>
      <c r="Z46" s="240"/>
      <c r="AA46" s="260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40"/>
      <c r="AQ46" s="260"/>
      <c r="AR46" s="239"/>
      <c r="AS46" s="239"/>
      <c r="AT46" s="239"/>
      <c r="AU46" s="240"/>
      <c r="AV46" s="32"/>
      <c r="AW46" s="32"/>
      <c r="AX46" s="32"/>
      <c r="AY46" s="32"/>
      <c r="AZ46" s="32"/>
      <c r="BA46" s="32"/>
      <c r="BB46" s="32"/>
      <c r="BK46" s="11"/>
    </row>
    <row r="47" spans="1:63" ht="15" customHeight="1" x14ac:dyDescent="0.25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273"/>
      <c r="R47" s="274"/>
      <c r="S47" s="274"/>
      <c r="T47" s="274"/>
      <c r="U47" s="274"/>
      <c r="V47" s="274"/>
      <c r="W47" s="274"/>
      <c r="X47" s="274"/>
      <c r="Y47" s="274"/>
      <c r="Z47" s="275"/>
      <c r="AA47" s="273"/>
      <c r="AB47" s="274"/>
      <c r="AC47" s="274"/>
      <c r="AD47" s="274"/>
      <c r="AE47" s="274"/>
      <c r="AF47" s="274"/>
      <c r="AG47" s="274"/>
      <c r="AH47" s="274"/>
      <c r="AI47" s="274"/>
      <c r="AJ47" s="274"/>
      <c r="AK47" s="274"/>
      <c r="AL47" s="274"/>
      <c r="AM47" s="274"/>
      <c r="AN47" s="274"/>
      <c r="AO47" s="274"/>
      <c r="AP47" s="275"/>
      <c r="AQ47" s="273"/>
      <c r="AR47" s="274"/>
      <c r="AS47" s="274"/>
      <c r="AT47" s="274"/>
      <c r="AU47" s="275"/>
      <c r="AV47" s="32"/>
      <c r="AW47" s="32"/>
      <c r="AX47" s="32"/>
      <c r="AY47" s="32"/>
      <c r="AZ47" s="32"/>
      <c r="BA47" s="32"/>
      <c r="BB47" s="32"/>
      <c r="BK47" s="11"/>
    </row>
    <row r="48" spans="1:63" ht="15" customHeight="1" x14ac:dyDescent="0.25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273"/>
      <c r="R48" s="274"/>
      <c r="S48" s="274"/>
      <c r="T48" s="274"/>
      <c r="U48" s="274"/>
      <c r="V48" s="274"/>
      <c r="W48" s="274"/>
      <c r="X48" s="274"/>
      <c r="Y48" s="274"/>
      <c r="Z48" s="275"/>
      <c r="AA48" s="273"/>
      <c r="AB48" s="274"/>
      <c r="AC48" s="274"/>
      <c r="AD48" s="274"/>
      <c r="AE48" s="274"/>
      <c r="AF48" s="274"/>
      <c r="AG48" s="274"/>
      <c r="AH48" s="274"/>
      <c r="AI48" s="274"/>
      <c r="AJ48" s="274"/>
      <c r="AK48" s="274"/>
      <c r="AL48" s="274"/>
      <c r="AM48" s="274"/>
      <c r="AN48" s="274"/>
      <c r="AO48" s="274"/>
      <c r="AP48" s="275"/>
      <c r="AQ48" s="273"/>
      <c r="AR48" s="274"/>
      <c r="AS48" s="274"/>
      <c r="AT48" s="274"/>
      <c r="AU48" s="275"/>
      <c r="AV48" s="32"/>
      <c r="AW48" s="32"/>
      <c r="AX48" s="32"/>
      <c r="AY48" s="32"/>
      <c r="AZ48" s="32"/>
      <c r="BA48" s="32"/>
      <c r="BB48" s="32"/>
      <c r="BK48" s="11"/>
    </row>
    <row r="49" spans="1:63" ht="15" customHeight="1" x14ac:dyDescent="0.25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241"/>
      <c r="R49" s="242"/>
      <c r="S49" s="242"/>
      <c r="T49" s="242"/>
      <c r="U49" s="242"/>
      <c r="V49" s="242"/>
      <c r="W49" s="242"/>
      <c r="X49" s="242"/>
      <c r="Y49" s="242"/>
      <c r="Z49" s="243"/>
      <c r="AA49" s="241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  <c r="AM49" s="242"/>
      <c r="AN49" s="242"/>
      <c r="AO49" s="242"/>
      <c r="AP49" s="243"/>
      <c r="AQ49" s="241"/>
      <c r="AR49" s="242"/>
      <c r="AS49" s="242"/>
      <c r="AT49" s="242"/>
      <c r="AU49" s="243"/>
      <c r="AV49" s="32"/>
      <c r="AW49" s="32"/>
      <c r="AX49" s="32"/>
      <c r="AY49" s="32"/>
      <c r="AZ49" s="32"/>
      <c r="BA49" s="32"/>
      <c r="BB49" s="32"/>
      <c r="BK49" s="11"/>
    </row>
    <row r="50" spans="1:63" ht="15" customHeight="1" x14ac:dyDescent="0.25">
      <c r="A50" s="8"/>
      <c r="BK50" s="11"/>
    </row>
    <row r="51" spans="1:63" ht="15" customHeight="1" x14ac:dyDescent="0.25">
      <c r="A51" s="8"/>
      <c r="BK51" s="11"/>
    </row>
    <row r="52" spans="1:63" ht="15" customHeight="1" x14ac:dyDescent="0.25">
      <c r="A52" s="8"/>
      <c r="BK52" s="11"/>
    </row>
    <row r="53" spans="1:63" ht="15" customHeight="1" x14ac:dyDescent="0.25">
      <c r="A53" s="8"/>
      <c r="BK53" s="11"/>
    </row>
    <row r="54" spans="1:63" ht="15" customHeight="1" x14ac:dyDescent="0.25">
      <c r="A54" s="8"/>
      <c r="BK54" s="11"/>
    </row>
    <row r="55" spans="1:63" ht="15" customHeight="1" x14ac:dyDescent="0.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2"/>
    </row>
  </sheetData>
  <mergeCells count="28">
    <mergeCell ref="Q44:Z45"/>
    <mergeCell ref="AA44:AP45"/>
    <mergeCell ref="AQ44:AU45"/>
    <mergeCell ref="Q46:Z49"/>
    <mergeCell ref="AA46:AP49"/>
    <mergeCell ref="AQ46:AU49"/>
    <mergeCell ref="A4:G4"/>
    <mergeCell ref="BH2:BK3"/>
    <mergeCell ref="BC2:BG3"/>
    <mergeCell ref="AY2:BB3"/>
    <mergeCell ref="AT2:AX3"/>
    <mergeCell ref="AP2:AS3"/>
    <mergeCell ref="L16:AZ21"/>
    <mergeCell ref="L24:AZ36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horizontalDpi="300" vertic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K63"/>
  <sheetViews>
    <sheetView showGridLines="0" view="pageBreakPreview" zoomScaleNormal="75" zoomScaleSheetLayoutView="100" workbookViewId="0">
      <selection sqref="A1:J1"/>
    </sheetView>
  </sheetViews>
  <sheetFormatPr defaultColWidth="9.109375" defaultRowHeight="13.5" x14ac:dyDescent="0.25"/>
  <cols>
    <col min="1" max="63" width="2.77734375" style="1" customWidth="1"/>
    <col min="64" max="64" width="9.109375" style="1" customWidth="1"/>
    <col min="65" max="16384" width="9.109375" style="1"/>
  </cols>
  <sheetData>
    <row r="1" spans="1:63" ht="24.95" customHeight="1" x14ac:dyDescent="0.25">
      <c r="A1" s="244" t="s">
        <v>25</v>
      </c>
      <c r="B1" s="245"/>
      <c r="C1" s="245"/>
      <c r="D1" s="245"/>
      <c r="E1" s="245"/>
      <c r="F1" s="245"/>
      <c r="G1" s="245"/>
      <c r="H1" s="245"/>
      <c r="I1" s="245"/>
      <c r="J1" s="246"/>
      <c r="K1" s="244" t="s">
        <v>26</v>
      </c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6"/>
      <c r="W1" s="247" t="str">
        <f>IF(Bìa!W1="","",Bìa!W1)</f>
        <v>TKCB</v>
      </c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9"/>
      <c r="AP1" s="244" t="s">
        <v>18</v>
      </c>
      <c r="AQ1" s="245"/>
      <c r="AR1" s="245"/>
      <c r="AS1" s="246"/>
      <c r="AT1" s="244" t="s">
        <v>19</v>
      </c>
      <c r="AU1" s="245"/>
      <c r="AV1" s="245"/>
      <c r="AW1" s="245"/>
      <c r="AX1" s="246"/>
      <c r="AY1" s="244" t="s">
        <v>20</v>
      </c>
      <c r="AZ1" s="245"/>
      <c r="BA1" s="245"/>
      <c r="BB1" s="246"/>
      <c r="BC1" s="244" t="s">
        <v>21</v>
      </c>
      <c r="BD1" s="245"/>
      <c r="BE1" s="245"/>
      <c r="BF1" s="245"/>
      <c r="BG1" s="246"/>
      <c r="BH1" s="244" t="s">
        <v>2</v>
      </c>
      <c r="BI1" s="245"/>
      <c r="BJ1" s="245"/>
      <c r="BK1" s="246"/>
    </row>
    <row r="2" spans="1:63" ht="15" customHeight="1" x14ac:dyDescent="0.25">
      <c r="A2" s="260" t="str">
        <f>IF(Bìa!A2="","",Bìa!A2)</f>
        <v>Manager User</v>
      </c>
      <c r="B2" s="239"/>
      <c r="C2" s="239"/>
      <c r="D2" s="239"/>
      <c r="E2" s="239"/>
      <c r="F2" s="239"/>
      <c r="G2" s="239"/>
      <c r="H2" s="239"/>
      <c r="I2" s="239"/>
      <c r="J2" s="240"/>
      <c r="K2" s="260" t="str">
        <f>IF(Bìa!K2="","",Bìa!K2)</f>
        <v>Thiết kế API</v>
      </c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40"/>
      <c r="W2" s="250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2"/>
      <c r="AP2" s="260" t="str">
        <f>IF(Bìa!AP2="","",Bìa!AP2)</f>
        <v>ThanhPD</v>
      </c>
      <c r="AQ2" s="239"/>
      <c r="AR2" s="239"/>
      <c r="AS2" s="240"/>
      <c r="AT2" s="261">
        <f>IF(Bìa!AT2="","",Bìa!AT2)</f>
        <v>44930</v>
      </c>
      <c r="AU2" s="262"/>
      <c r="AV2" s="262"/>
      <c r="AW2" s="262"/>
      <c r="AX2" s="263"/>
      <c r="AY2" s="260" t="str">
        <f>IF(Bìa!AY2="","",Bìa!AY2)</f>
        <v>ThanhPD</v>
      </c>
      <c r="AZ2" s="239"/>
      <c r="BA2" s="239"/>
      <c r="BB2" s="240"/>
      <c r="BC2" s="261">
        <f>IF(Bìa!BC2="","",Bìa!BC2)</f>
        <v>44930</v>
      </c>
      <c r="BD2" s="262"/>
      <c r="BE2" s="262"/>
      <c r="BF2" s="262"/>
      <c r="BG2" s="263"/>
      <c r="BH2" s="260">
        <f>IF(Bìa!BH2="","",Bìa!BH2)</f>
        <v>0.1</v>
      </c>
      <c r="BI2" s="239"/>
      <c r="BJ2" s="239"/>
      <c r="BK2" s="240"/>
    </row>
    <row r="3" spans="1:63" ht="15" customHeight="1" x14ac:dyDescent="0.25">
      <c r="A3" s="241"/>
      <c r="B3" s="242"/>
      <c r="C3" s="242"/>
      <c r="D3" s="242"/>
      <c r="E3" s="242"/>
      <c r="F3" s="242"/>
      <c r="G3" s="242"/>
      <c r="H3" s="242"/>
      <c r="I3" s="242"/>
      <c r="J3" s="243"/>
      <c r="K3" s="241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3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41"/>
      <c r="AQ3" s="242"/>
      <c r="AR3" s="242"/>
      <c r="AS3" s="243"/>
      <c r="AT3" s="264"/>
      <c r="AU3" s="265"/>
      <c r="AV3" s="265"/>
      <c r="AW3" s="265"/>
      <c r="AX3" s="266"/>
      <c r="AY3" s="241"/>
      <c r="AZ3" s="242"/>
      <c r="BA3" s="242"/>
      <c r="BB3" s="243"/>
      <c r="BC3" s="264"/>
      <c r="BD3" s="265"/>
      <c r="BE3" s="265"/>
      <c r="BF3" s="265"/>
      <c r="BG3" s="266"/>
      <c r="BH3" s="241"/>
      <c r="BI3" s="242"/>
      <c r="BJ3" s="242"/>
      <c r="BK3" s="243"/>
    </row>
    <row r="4" spans="1:63" ht="24.95" customHeight="1" x14ac:dyDescent="0.25">
      <c r="A4" s="244" t="s">
        <v>17</v>
      </c>
      <c r="B4" s="245"/>
      <c r="C4" s="245"/>
      <c r="D4" s="245"/>
      <c r="E4" s="245"/>
      <c r="F4" s="245"/>
      <c r="G4" s="246"/>
      <c r="H4" s="256" t="str">
        <f>IF(Bìa!H4="","",Bìa!H4)</f>
        <v/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8"/>
      <c r="U4" s="244" t="s">
        <v>22</v>
      </c>
      <c r="V4" s="245"/>
      <c r="W4" s="245"/>
      <c r="X4" s="245"/>
      <c r="Y4" s="246"/>
      <c r="Z4" s="256" t="str">
        <f>IF(Bìa!Z4="","",Bìa!Z4)</f>
        <v>Delete employee</v>
      </c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7"/>
      <c r="AM4" s="257"/>
      <c r="AN4" s="257"/>
      <c r="AO4" s="258"/>
      <c r="AP4" s="256" t="s">
        <v>3</v>
      </c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8"/>
    </row>
    <row r="5" spans="1:63" ht="5.0999999999999996" customHeight="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 x14ac:dyDescent="0.25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ht="15" customHeight="1" x14ac:dyDescent="0.25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3"/>
    </row>
    <row r="8" spans="1:63" ht="15" customHeight="1" x14ac:dyDescent="0.25">
      <c r="A8" s="31"/>
      <c r="B8" s="34" t="s">
        <v>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5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3"/>
    </row>
    <row r="9" spans="1:63" ht="15" customHeight="1" x14ac:dyDescent="0.25">
      <c r="A9" s="31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3"/>
    </row>
    <row r="10" spans="1:63" ht="15" customHeight="1" x14ac:dyDescent="0.25">
      <c r="A10" s="31"/>
      <c r="B10" s="29" t="s">
        <v>0</v>
      </c>
      <c r="C10" s="30"/>
      <c r="D10" s="30"/>
      <c r="E10" s="30"/>
      <c r="F10" s="30"/>
      <c r="G10" s="30"/>
      <c r="H10" s="29" t="s">
        <v>1</v>
      </c>
      <c r="I10" s="30"/>
      <c r="J10" s="30"/>
      <c r="K10" s="30"/>
      <c r="L10" s="30"/>
      <c r="M10" s="30"/>
      <c r="N10" s="30"/>
      <c r="O10" s="29" t="s">
        <v>5</v>
      </c>
      <c r="P10" s="30"/>
      <c r="Q10" s="30"/>
      <c r="R10" s="30"/>
      <c r="S10" s="29" t="s">
        <v>6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433" t="s">
        <v>40</v>
      </c>
      <c r="AY10" s="434"/>
      <c r="AZ10" s="434"/>
      <c r="BA10" s="434"/>
      <c r="BB10" s="434"/>
      <c r="BC10" s="434"/>
      <c r="BD10" s="434" t="s">
        <v>41</v>
      </c>
      <c r="BE10" s="434"/>
      <c r="BF10" s="434"/>
      <c r="BG10" s="434"/>
      <c r="BH10" s="434"/>
      <c r="BI10" s="434"/>
      <c r="BJ10" s="441"/>
      <c r="BK10" s="33"/>
    </row>
    <row r="11" spans="1:63" ht="15" customHeight="1" x14ac:dyDescent="0.25">
      <c r="A11" s="31"/>
      <c r="B11" s="423">
        <v>44930</v>
      </c>
      <c r="C11" s="424"/>
      <c r="D11" s="424"/>
      <c r="E11" s="424"/>
      <c r="F11" s="424"/>
      <c r="G11" s="425"/>
      <c r="H11" s="408" t="s">
        <v>75</v>
      </c>
      <c r="I11" s="409"/>
      <c r="J11" s="409"/>
      <c r="K11" s="409"/>
      <c r="L11" s="409"/>
      <c r="M11" s="409"/>
      <c r="N11" s="410"/>
      <c r="O11" s="414">
        <v>0.1</v>
      </c>
      <c r="P11" s="415"/>
      <c r="Q11" s="415"/>
      <c r="R11" s="416"/>
      <c r="S11" s="85" t="s">
        <v>31</v>
      </c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336"/>
      <c r="AY11" s="337"/>
      <c r="AZ11" s="337"/>
      <c r="BA11" s="337"/>
      <c r="BB11" s="337"/>
      <c r="BC11" s="338"/>
      <c r="BD11" s="336"/>
      <c r="BE11" s="337"/>
      <c r="BF11" s="337"/>
      <c r="BG11" s="337"/>
      <c r="BH11" s="337"/>
      <c r="BI11" s="337"/>
      <c r="BJ11" s="338"/>
      <c r="BK11" s="33"/>
    </row>
    <row r="12" spans="1:63" ht="15" customHeight="1" x14ac:dyDescent="0.25">
      <c r="A12" s="31"/>
      <c r="B12" s="429"/>
      <c r="C12" s="430"/>
      <c r="D12" s="430"/>
      <c r="E12" s="430"/>
      <c r="F12" s="430"/>
      <c r="G12" s="431"/>
      <c r="H12" s="411"/>
      <c r="I12" s="412"/>
      <c r="J12" s="412"/>
      <c r="K12" s="412"/>
      <c r="L12" s="412"/>
      <c r="M12" s="412"/>
      <c r="N12" s="413"/>
      <c r="O12" s="417"/>
      <c r="P12" s="418"/>
      <c r="Q12" s="418"/>
      <c r="R12" s="419"/>
      <c r="S12" s="87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339"/>
      <c r="AY12" s="340"/>
      <c r="AZ12" s="340"/>
      <c r="BA12" s="340"/>
      <c r="BB12" s="340"/>
      <c r="BC12" s="341"/>
      <c r="BD12" s="339"/>
      <c r="BE12" s="340"/>
      <c r="BF12" s="340"/>
      <c r="BG12" s="340"/>
      <c r="BH12" s="340"/>
      <c r="BI12" s="340"/>
      <c r="BJ12" s="341"/>
      <c r="BK12" s="33"/>
    </row>
    <row r="13" spans="1:63" ht="15" customHeight="1" x14ac:dyDescent="0.25">
      <c r="A13" s="31"/>
      <c r="B13" s="423"/>
      <c r="C13" s="424"/>
      <c r="D13" s="424"/>
      <c r="E13" s="424"/>
      <c r="F13" s="424"/>
      <c r="G13" s="425"/>
      <c r="H13" s="408"/>
      <c r="I13" s="409"/>
      <c r="J13" s="409"/>
      <c r="K13" s="409"/>
      <c r="L13" s="409"/>
      <c r="M13" s="409"/>
      <c r="N13" s="410"/>
      <c r="O13" s="414"/>
      <c r="P13" s="415"/>
      <c r="Q13" s="415"/>
      <c r="R13" s="416"/>
      <c r="S13" s="85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336"/>
      <c r="AY13" s="337"/>
      <c r="AZ13" s="337"/>
      <c r="BA13" s="337"/>
      <c r="BB13" s="337"/>
      <c r="BC13" s="338"/>
      <c r="BD13" s="336"/>
      <c r="BE13" s="337"/>
      <c r="BF13" s="337"/>
      <c r="BG13" s="337"/>
      <c r="BH13" s="337"/>
      <c r="BI13" s="337"/>
      <c r="BJ13" s="338"/>
      <c r="BK13" s="33"/>
    </row>
    <row r="14" spans="1:63" ht="15" customHeight="1" x14ac:dyDescent="0.25">
      <c r="A14" s="31"/>
      <c r="B14" s="426"/>
      <c r="C14" s="427"/>
      <c r="D14" s="427"/>
      <c r="E14" s="427"/>
      <c r="F14" s="427"/>
      <c r="G14" s="428"/>
      <c r="H14" s="435"/>
      <c r="I14" s="436"/>
      <c r="J14" s="436"/>
      <c r="K14" s="436"/>
      <c r="L14" s="436"/>
      <c r="M14" s="436"/>
      <c r="N14" s="437"/>
      <c r="O14" s="417"/>
      <c r="P14" s="418"/>
      <c r="Q14" s="418"/>
      <c r="R14" s="419"/>
      <c r="S14" s="85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339"/>
      <c r="AY14" s="340"/>
      <c r="AZ14" s="340"/>
      <c r="BA14" s="340"/>
      <c r="BB14" s="340"/>
      <c r="BC14" s="341"/>
      <c r="BD14" s="339"/>
      <c r="BE14" s="340"/>
      <c r="BF14" s="340"/>
      <c r="BG14" s="340"/>
      <c r="BH14" s="340"/>
      <c r="BI14" s="340"/>
      <c r="BJ14" s="341"/>
      <c r="BK14" s="33"/>
    </row>
    <row r="15" spans="1:63" ht="15" customHeight="1" x14ac:dyDescent="0.25">
      <c r="A15" s="31"/>
      <c r="B15" s="423"/>
      <c r="C15" s="424"/>
      <c r="D15" s="424"/>
      <c r="E15" s="424"/>
      <c r="F15" s="424"/>
      <c r="G15" s="425"/>
      <c r="H15" s="408"/>
      <c r="I15" s="409"/>
      <c r="J15" s="409"/>
      <c r="K15" s="409"/>
      <c r="L15" s="409"/>
      <c r="M15" s="409"/>
      <c r="N15" s="410"/>
      <c r="O15" s="414"/>
      <c r="P15" s="415"/>
      <c r="Q15" s="415"/>
      <c r="R15" s="416"/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336"/>
      <c r="AY15" s="337"/>
      <c r="AZ15" s="337"/>
      <c r="BA15" s="337"/>
      <c r="BB15" s="337"/>
      <c r="BC15" s="338"/>
      <c r="BD15" s="336"/>
      <c r="BE15" s="337"/>
      <c r="BF15" s="337"/>
      <c r="BG15" s="337"/>
      <c r="BH15" s="337"/>
      <c r="BI15" s="337"/>
      <c r="BJ15" s="338"/>
      <c r="BK15" s="33"/>
    </row>
    <row r="16" spans="1:63" ht="15" customHeight="1" x14ac:dyDescent="0.25">
      <c r="A16" s="31"/>
      <c r="B16" s="429"/>
      <c r="C16" s="430"/>
      <c r="D16" s="430"/>
      <c r="E16" s="430"/>
      <c r="F16" s="430"/>
      <c r="G16" s="431"/>
      <c r="H16" s="411"/>
      <c r="I16" s="412"/>
      <c r="J16" s="412"/>
      <c r="K16" s="412"/>
      <c r="L16" s="412"/>
      <c r="M16" s="412"/>
      <c r="N16" s="413"/>
      <c r="O16" s="417"/>
      <c r="P16" s="418"/>
      <c r="Q16" s="418"/>
      <c r="R16" s="419"/>
      <c r="S16" s="87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339"/>
      <c r="AY16" s="340"/>
      <c r="AZ16" s="340"/>
      <c r="BA16" s="340"/>
      <c r="BB16" s="340"/>
      <c r="BC16" s="341"/>
      <c r="BD16" s="339"/>
      <c r="BE16" s="340"/>
      <c r="BF16" s="340"/>
      <c r="BG16" s="340"/>
      <c r="BH16" s="340"/>
      <c r="BI16" s="340"/>
      <c r="BJ16" s="341"/>
      <c r="BK16" s="33"/>
    </row>
    <row r="17" spans="1:63" ht="15" customHeight="1" x14ac:dyDescent="0.25">
      <c r="A17" s="31"/>
      <c r="B17" s="423"/>
      <c r="C17" s="424"/>
      <c r="D17" s="424"/>
      <c r="E17" s="424"/>
      <c r="F17" s="424"/>
      <c r="G17" s="425"/>
      <c r="H17" s="408"/>
      <c r="I17" s="409"/>
      <c r="J17" s="409"/>
      <c r="K17" s="409"/>
      <c r="L17" s="409"/>
      <c r="M17" s="409"/>
      <c r="N17" s="410"/>
      <c r="O17" s="414"/>
      <c r="P17" s="415"/>
      <c r="Q17" s="415"/>
      <c r="R17" s="416"/>
      <c r="S17" s="85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336"/>
      <c r="AY17" s="337"/>
      <c r="AZ17" s="337"/>
      <c r="BA17" s="337"/>
      <c r="BB17" s="337"/>
      <c r="BC17" s="338"/>
      <c r="BD17" s="336"/>
      <c r="BE17" s="337"/>
      <c r="BF17" s="337"/>
      <c r="BG17" s="337"/>
      <c r="BH17" s="337"/>
      <c r="BI17" s="337"/>
      <c r="BJ17" s="338"/>
      <c r="BK17" s="33"/>
    </row>
    <row r="18" spans="1:63" ht="15" customHeight="1" x14ac:dyDescent="0.25">
      <c r="A18" s="31"/>
      <c r="B18" s="429"/>
      <c r="C18" s="430"/>
      <c r="D18" s="430"/>
      <c r="E18" s="430"/>
      <c r="F18" s="430"/>
      <c r="G18" s="431"/>
      <c r="H18" s="411"/>
      <c r="I18" s="412"/>
      <c r="J18" s="412"/>
      <c r="K18" s="412"/>
      <c r="L18" s="412"/>
      <c r="M18" s="412"/>
      <c r="N18" s="413"/>
      <c r="O18" s="417"/>
      <c r="P18" s="418"/>
      <c r="Q18" s="418"/>
      <c r="R18" s="419"/>
      <c r="S18" s="87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339"/>
      <c r="AY18" s="340"/>
      <c r="AZ18" s="340"/>
      <c r="BA18" s="340"/>
      <c r="BB18" s="340"/>
      <c r="BC18" s="341"/>
      <c r="BD18" s="339"/>
      <c r="BE18" s="340"/>
      <c r="BF18" s="340"/>
      <c r="BG18" s="340"/>
      <c r="BH18" s="340"/>
      <c r="BI18" s="340"/>
      <c r="BJ18" s="341"/>
      <c r="BK18" s="33"/>
    </row>
    <row r="19" spans="1:63" ht="15" customHeight="1" x14ac:dyDescent="0.25">
      <c r="A19" s="31"/>
      <c r="B19" s="423"/>
      <c r="C19" s="424"/>
      <c r="D19" s="424"/>
      <c r="E19" s="424"/>
      <c r="F19" s="424"/>
      <c r="G19" s="425"/>
      <c r="H19" s="408"/>
      <c r="I19" s="409"/>
      <c r="J19" s="409"/>
      <c r="K19" s="409"/>
      <c r="L19" s="409"/>
      <c r="M19" s="409"/>
      <c r="N19" s="410"/>
      <c r="O19" s="414"/>
      <c r="P19" s="415"/>
      <c r="Q19" s="415"/>
      <c r="R19" s="416"/>
      <c r="S19" s="85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336"/>
      <c r="AY19" s="337"/>
      <c r="AZ19" s="337"/>
      <c r="BA19" s="337"/>
      <c r="BB19" s="337"/>
      <c r="BC19" s="338"/>
      <c r="BD19" s="336"/>
      <c r="BE19" s="337"/>
      <c r="BF19" s="337"/>
      <c r="BG19" s="337"/>
      <c r="BH19" s="337"/>
      <c r="BI19" s="337"/>
      <c r="BJ19" s="338"/>
      <c r="BK19" s="33"/>
    </row>
    <row r="20" spans="1:63" ht="15" customHeight="1" x14ac:dyDescent="0.25">
      <c r="A20" s="31"/>
      <c r="B20" s="429"/>
      <c r="C20" s="430"/>
      <c r="D20" s="430"/>
      <c r="E20" s="430"/>
      <c r="F20" s="430"/>
      <c r="G20" s="431"/>
      <c r="H20" s="411"/>
      <c r="I20" s="412"/>
      <c r="J20" s="412"/>
      <c r="K20" s="412"/>
      <c r="L20" s="412"/>
      <c r="M20" s="412"/>
      <c r="N20" s="413"/>
      <c r="O20" s="417"/>
      <c r="P20" s="418"/>
      <c r="Q20" s="418"/>
      <c r="R20" s="419"/>
      <c r="S20" s="87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339"/>
      <c r="AY20" s="340"/>
      <c r="AZ20" s="340"/>
      <c r="BA20" s="340"/>
      <c r="BB20" s="340"/>
      <c r="BC20" s="341"/>
      <c r="BD20" s="339"/>
      <c r="BE20" s="340"/>
      <c r="BF20" s="340"/>
      <c r="BG20" s="340"/>
      <c r="BH20" s="340"/>
      <c r="BI20" s="340"/>
      <c r="BJ20" s="341"/>
      <c r="BK20" s="33"/>
    </row>
    <row r="21" spans="1:63" ht="15" customHeight="1" x14ac:dyDescent="0.25">
      <c r="A21" s="31"/>
      <c r="B21" s="423"/>
      <c r="C21" s="424"/>
      <c r="D21" s="424"/>
      <c r="E21" s="424"/>
      <c r="F21" s="424"/>
      <c r="G21" s="425"/>
      <c r="H21" s="408"/>
      <c r="I21" s="409"/>
      <c r="J21" s="409"/>
      <c r="K21" s="409"/>
      <c r="L21" s="409"/>
      <c r="M21" s="409"/>
      <c r="N21" s="410"/>
      <c r="O21" s="414"/>
      <c r="P21" s="415"/>
      <c r="Q21" s="415"/>
      <c r="R21" s="416"/>
      <c r="S21" s="85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336"/>
      <c r="AY21" s="337"/>
      <c r="AZ21" s="337"/>
      <c r="BA21" s="337"/>
      <c r="BB21" s="337"/>
      <c r="BC21" s="338"/>
      <c r="BD21" s="336"/>
      <c r="BE21" s="337"/>
      <c r="BF21" s="337"/>
      <c r="BG21" s="337"/>
      <c r="BH21" s="337"/>
      <c r="BI21" s="337"/>
      <c r="BJ21" s="338"/>
      <c r="BK21" s="33"/>
    </row>
    <row r="22" spans="1:63" ht="15" customHeight="1" x14ac:dyDescent="0.25">
      <c r="A22" s="31"/>
      <c r="B22" s="429"/>
      <c r="C22" s="430"/>
      <c r="D22" s="430"/>
      <c r="E22" s="430"/>
      <c r="F22" s="430"/>
      <c r="G22" s="431"/>
      <c r="H22" s="411"/>
      <c r="I22" s="412"/>
      <c r="J22" s="412"/>
      <c r="K22" s="412"/>
      <c r="L22" s="412"/>
      <c r="M22" s="412"/>
      <c r="N22" s="413"/>
      <c r="O22" s="417"/>
      <c r="P22" s="418"/>
      <c r="Q22" s="418"/>
      <c r="R22" s="419"/>
      <c r="S22" s="87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339"/>
      <c r="AY22" s="340"/>
      <c r="AZ22" s="340"/>
      <c r="BA22" s="340"/>
      <c r="BB22" s="340"/>
      <c r="BC22" s="341"/>
      <c r="BD22" s="339"/>
      <c r="BE22" s="340"/>
      <c r="BF22" s="340"/>
      <c r="BG22" s="340"/>
      <c r="BH22" s="340"/>
      <c r="BI22" s="340"/>
      <c r="BJ22" s="341"/>
      <c r="BK22" s="33"/>
    </row>
    <row r="23" spans="1:63" ht="15" customHeight="1" x14ac:dyDescent="0.25">
      <c r="A23" s="31"/>
      <c r="B23" s="423"/>
      <c r="C23" s="424"/>
      <c r="D23" s="424"/>
      <c r="E23" s="424"/>
      <c r="F23" s="424"/>
      <c r="G23" s="425"/>
      <c r="H23" s="408"/>
      <c r="I23" s="409"/>
      <c r="J23" s="409"/>
      <c r="K23" s="409"/>
      <c r="L23" s="409"/>
      <c r="M23" s="409"/>
      <c r="N23" s="410"/>
      <c r="O23" s="414"/>
      <c r="P23" s="415"/>
      <c r="Q23" s="415"/>
      <c r="R23" s="416"/>
      <c r="S23" s="85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116"/>
      <c r="AX23" s="336"/>
      <c r="AY23" s="337"/>
      <c r="AZ23" s="337"/>
      <c r="BA23" s="337"/>
      <c r="BB23" s="337"/>
      <c r="BC23" s="338"/>
      <c r="BD23" s="336"/>
      <c r="BE23" s="337"/>
      <c r="BF23" s="337"/>
      <c r="BG23" s="337"/>
      <c r="BH23" s="337"/>
      <c r="BI23" s="337"/>
      <c r="BJ23" s="338"/>
      <c r="BK23" s="33"/>
    </row>
    <row r="24" spans="1:63" ht="15" customHeight="1" x14ac:dyDescent="0.25">
      <c r="A24" s="31"/>
      <c r="B24" s="426"/>
      <c r="C24" s="427"/>
      <c r="D24" s="427"/>
      <c r="E24" s="427"/>
      <c r="F24" s="427"/>
      <c r="G24" s="428"/>
      <c r="H24" s="435"/>
      <c r="I24" s="436"/>
      <c r="J24" s="436"/>
      <c r="K24" s="436"/>
      <c r="L24" s="436"/>
      <c r="M24" s="436"/>
      <c r="N24" s="437"/>
      <c r="O24" s="420"/>
      <c r="P24" s="421"/>
      <c r="Q24" s="421"/>
      <c r="R24" s="422"/>
      <c r="S24" s="117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9"/>
      <c r="AX24" s="438"/>
      <c r="AY24" s="439"/>
      <c r="AZ24" s="439"/>
      <c r="BA24" s="439"/>
      <c r="BB24" s="439"/>
      <c r="BC24" s="440"/>
      <c r="BD24" s="438"/>
      <c r="BE24" s="439"/>
      <c r="BF24" s="439"/>
      <c r="BG24" s="439"/>
      <c r="BH24" s="439"/>
      <c r="BI24" s="439"/>
      <c r="BJ24" s="440"/>
      <c r="BK24" s="33"/>
    </row>
    <row r="25" spans="1:63" ht="15" customHeight="1" x14ac:dyDescent="0.25">
      <c r="A25" s="31"/>
      <c r="B25" s="426"/>
      <c r="C25" s="427"/>
      <c r="D25" s="427"/>
      <c r="E25" s="427"/>
      <c r="F25" s="427"/>
      <c r="G25" s="428"/>
      <c r="H25" s="435"/>
      <c r="I25" s="436"/>
      <c r="J25" s="436"/>
      <c r="K25" s="436"/>
      <c r="L25" s="436"/>
      <c r="M25" s="436"/>
      <c r="N25" s="437"/>
      <c r="O25" s="420"/>
      <c r="P25" s="421"/>
      <c r="Q25" s="421"/>
      <c r="R25" s="422"/>
      <c r="S25" s="87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120"/>
      <c r="AX25" s="438"/>
      <c r="AY25" s="439"/>
      <c r="AZ25" s="439"/>
      <c r="BA25" s="439"/>
      <c r="BB25" s="439"/>
      <c r="BC25" s="440"/>
      <c r="BD25" s="438"/>
      <c r="BE25" s="439"/>
      <c r="BF25" s="439"/>
      <c r="BG25" s="439"/>
      <c r="BH25" s="439"/>
      <c r="BI25" s="439"/>
      <c r="BJ25" s="440"/>
      <c r="BK25" s="33"/>
    </row>
    <row r="26" spans="1:63" ht="15" customHeight="1" x14ac:dyDescent="0.25">
      <c r="A26" s="31"/>
      <c r="B26" s="423"/>
      <c r="C26" s="424"/>
      <c r="D26" s="424"/>
      <c r="E26" s="424"/>
      <c r="F26" s="424"/>
      <c r="G26" s="425"/>
      <c r="H26" s="432"/>
      <c r="I26" s="409"/>
      <c r="J26" s="409"/>
      <c r="K26" s="409"/>
      <c r="L26" s="409"/>
      <c r="M26" s="409"/>
      <c r="N26" s="410"/>
      <c r="O26" s="414"/>
      <c r="P26" s="415"/>
      <c r="Q26" s="415"/>
      <c r="R26" s="416"/>
      <c r="S26" s="85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294"/>
      <c r="AY26" s="295"/>
      <c r="AZ26" s="295"/>
      <c r="BA26" s="295"/>
      <c r="BB26" s="295"/>
      <c r="BC26" s="296"/>
      <c r="BD26" s="294"/>
      <c r="BE26" s="295"/>
      <c r="BF26" s="295"/>
      <c r="BG26" s="295"/>
      <c r="BH26" s="295"/>
      <c r="BI26" s="295"/>
      <c r="BJ26" s="296"/>
      <c r="BK26" s="33"/>
    </row>
    <row r="27" spans="1:63" ht="15" customHeight="1" x14ac:dyDescent="0.25">
      <c r="A27" s="31"/>
      <c r="B27" s="429"/>
      <c r="C27" s="430"/>
      <c r="D27" s="430"/>
      <c r="E27" s="430"/>
      <c r="F27" s="430"/>
      <c r="G27" s="431"/>
      <c r="H27" s="411"/>
      <c r="I27" s="412"/>
      <c r="J27" s="412"/>
      <c r="K27" s="412"/>
      <c r="L27" s="412"/>
      <c r="M27" s="412"/>
      <c r="N27" s="413"/>
      <c r="O27" s="417"/>
      <c r="P27" s="418"/>
      <c r="Q27" s="418"/>
      <c r="R27" s="419"/>
      <c r="S27" s="87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297"/>
      <c r="AY27" s="298"/>
      <c r="AZ27" s="298"/>
      <c r="BA27" s="298"/>
      <c r="BB27" s="298"/>
      <c r="BC27" s="299"/>
      <c r="BD27" s="297"/>
      <c r="BE27" s="298"/>
      <c r="BF27" s="298"/>
      <c r="BG27" s="298"/>
      <c r="BH27" s="298"/>
      <c r="BI27" s="298"/>
      <c r="BJ27" s="299"/>
      <c r="BK27" s="33"/>
    </row>
    <row r="28" spans="1:63" ht="15" customHeight="1" x14ac:dyDescent="0.25">
      <c r="A28" s="31"/>
      <c r="B28" s="423"/>
      <c r="C28" s="424"/>
      <c r="D28" s="424"/>
      <c r="E28" s="424"/>
      <c r="F28" s="424"/>
      <c r="G28" s="425"/>
      <c r="H28" s="432"/>
      <c r="I28" s="409"/>
      <c r="J28" s="409"/>
      <c r="K28" s="409"/>
      <c r="L28" s="409"/>
      <c r="M28" s="409"/>
      <c r="N28" s="410"/>
      <c r="O28" s="414"/>
      <c r="P28" s="415"/>
      <c r="Q28" s="415"/>
      <c r="R28" s="416"/>
      <c r="S28" s="85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116"/>
      <c r="AX28" s="336"/>
      <c r="AY28" s="337"/>
      <c r="AZ28" s="337"/>
      <c r="BA28" s="337"/>
      <c r="BB28" s="337"/>
      <c r="BC28" s="338"/>
      <c r="BD28" s="336"/>
      <c r="BE28" s="337"/>
      <c r="BF28" s="337"/>
      <c r="BG28" s="337"/>
      <c r="BH28" s="337"/>
      <c r="BI28" s="337"/>
      <c r="BJ28" s="338"/>
      <c r="BK28" s="33"/>
    </row>
    <row r="29" spans="1:63" ht="15" customHeight="1" x14ac:dyDescent="0.25">
      <c r="A29" s="31"/>
      <c r="B29" s="426"/>
      <c r="C29" s="427"/>
      <c r="D29" s="427"/>
      <c r="E29" s="427"/>
      <c r="F29" s="427"/>
      <c r="G29" s="428"/>
      <c r="H29" s="442"/>
      <c r="I29" s="436"/>
      <c r="J29" s="436"/>
      <c r="K29" s="436"/>
      <c r="L29" s="436"/>
      <c r="M29" s="436"/>
      <c r="N29" s="437"/>
      <c r="O29" s="420"/>
      <c r="P29" s="421"/>
      <c r="Q29" s="421"/>
      <c r="R29" s="422"/>
      <c r="S29" s="117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9"/>
      <c r="AX29" s="438"/>
      <c r="AY29" s="439"/>
      <c r="AZ29" s="439"/>
      <c r="BA29" s="439"/>
      <c r="BB29" s="439"/>
      <c r="BC29" s="440"/>
      <c r="BD29" s="438"/>
      <c r="BE29" s="439"/>
      <c r="BF29" s="439"/>
      <c r="BG29" s="439"/>
      <c r="BH29" s="439"/>
      <c r="BI29" s="439"/>
      <c r="BJ29" s="440"/>
      <c r="BK29" s="33"/>
    </row>
    <row r="30" spans="1:63" ht="15" customHeight="1" x14ac:dyDescent="0.25">
      <c r="A30" s="31"/>
      <c r="B30" s="429"/>
      <c r="C30" s="430"/>
      <c r="D30" s="430"/>
      <c r="E30" s="430"/>
      <c r="F30" s="430"/>
      <c r="G30" s="431"/>
      <c r="H30" s="411"/>
      <c r="I30" s="412"/>
      <c r="J30" s="412"/>
      <c r="K30" s="412"/>
      <c r="L30" s="412"/>
      <c r="M30" s="412"/>
      <c r="N30" s="413"/>
      <c r="O30" s="417"/>
      <c r="P30" s="418"/>
      <c r="Q30" s="418"/>
      <c r="R30" s="419"/>
      <c r="S30" s="87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120"/>
      <c r="AX30" s="339"/>
      <c r="AY30" s="340"/>
      <c r="AZ30" s="340"/>
      <c r="BA30" s="340"/>
      <c r="BB30" s="340"/>
      <c r="BC30" s="341"/>
      <c r="BD30" s="339"/>
      <c r="BE30" s="340"/>
      <c r="BF30" s="340"/>
      <c r="BG30" s="340"/>
      <c r="BH30" s="340"/>
      <c r="BI30" s="340"/>
      <c r="BJ30" s="341"/>
      <c r="BK30" s="33"/>
    </row>
    <row r="31" spans="1:63" ht="15" customHeight="1" x14ac:dyDescent="0.25">
      <c r="A31" s="31"/>
      <c r="B31" s="423"/>
      <c r="C31" s="424"/>
      <c r="D31" s="424"/>
      <c r="E31" s="424"/>
      <c r="F31" s="424"/>
      <c r="G31" s="425"/>
      <c r="H31" s="432"/>
      <c r="I31" s="409"/>
      <c r="J31" s="409"/>
      <c r="K31" s="409"/>
      <c r="L31" s="409"/>
      <c r="M31" s="409"/>
      <c r="N31" s="410"/>
      <c r="O31" s="414"/>
      <c r="P31" s="415"/>
      <c r="Q31" s="415"/>
      <c r="R31" s="416"/>
      <c r="S31" s="85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336"/>
      <c r="AY31" s="337"/>
      <c r="AZ31" s="337"/>
      <c r="BA31" s="337"/>
      <c r="BB31" s="337"/>
      <c r="BC31" s="338"/>
      <c r="BD31" s="336"/>
      <c r="BE31" s="337"/>
      <c r="BF31" s="337"/>
      <c r="BG31" s="337"/>
      <c r="BH31" s="337"/>
      <c r="BI31" s="337"/>
      <c r="BJ31" s="338"/>
      <c r="BK31" s="33"/>
    </row>
    <row r="32" spans="1:63" ht="15" customHeight="1" x14ac:dyDescent="0.25">
      <c r="A32" s="31"/>
      <c r="B32" s="429"/>
      <c r="C32" s="430"/>
      <c r="D32" s="430"/>
      <c r="E32" s="430"/>
      <c r="F32" s="430"/>
      <c r="G32" s="431"/>
      <c r="H32" s="411"/>
      <c r="I32" s="412"/>
      <c r="J32" s="412"/>
      <c r="K32" s="412"/>
      <c r="L32" s="412"/>
      <c r="M32" s="412"/>
      <c r="N32" s="413"/>
      <c r="O32" s="417"/>
      <c r="P32" s="418"/>
      <c r="Q32" s="418"/>
      <c r="R32" s="419"/>
      <c r="S32" s="87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339"/>
      <c r="AY32" s="340"/>
      <c r="AZ32" s="340"/>
      <c r="BA32" s="340"/>
      <c r="BB32" s="340"/>
      <c r="BC32" s="341"/>
      <c r="BD32" s="339"/>
      <c r="BE32" s="340"/>
      <c r="BF32" s="340"/>
      <c r="BG32" s="340"/>
      <c r="BH32" s="340"/>
      <c r="BI32" s="340"/>
      <c r="BJ32" s="341"/>
      <c r="BK32" s="33"/>
    </row>
    <row r="33" spans="1:63" ht="44.25" customHeight="1" x14ac:dyDescent="0.25">
      <c r="A33" s="31"/>
      <c r="B33" s="423"/>
      <c r="C33" s="424"/>
      <c r="D33" s="424"/>
      <c r="E33" s="424"/>
      <c r="F33" s="424"/>
      <c r="G33" s="425"/>
      <c r="H33" s="432"/>
      <c r="I33" s="409"/>
      <c r="J33" s="409"/>
      <c r="K33" s="409"/>
      <c r="L33" s="409"/>
      <c r="M33" s="409"/>
      <c r="N33" s="410"/>
      <c r="O33" s="414"/>
      <c r="P33" s="415"/>
      <c r="Q33" s="415"/>
      <c r="R33" s="416"/>
      <c r="S33" s="443"/>
      <c r="T33" s="444"/>
      <c r="U33" s="444"/>
      <c r="V33" s="444"/>
      <c r="W33" s="444"/>
      <c r="X33" s="444"/>
      <c r="Y33" s="444"/>
      <c r="Z33" s="444"/>
      <c r="AA33" s="444"/>
      <c r="AB33" s="444"/>
      <c r="AC33" s="444"/>
      <c r="AD33" s="444"/>
      <c r="AE33" s="444"/>
      <c r="AF33" s="444"/>
      <c r="AG33" s="444"/>
      <c r="AH33" s="444"/>
      <c r="AI33" s="444"/>
      <c r="AJ33" s="444"/>
      <c r="AK33" s="444"/>
      <c r="AL33" s="444"/>
      <c r="AM33" s="444"/>
      <c r="AN33" s="444"/>
      <c r="AO33" s="444"/>
      <c r="AP33" s="444"/>
      <c r="AQ33" s="444"/>
      <c r="AR33" s="444"/>
      <c r="AS33" s="444"/>
      <c r="AT33" s="444"/>
      <c r="AU33" s="444"/>
      <c r="AV33" s="444"/>
      <c r="AW33" s="445"/>
      <c r="AX33" s="336"/>
      <c r="AY33" s="337"/>
      <c r="AZ33" s="337"/>
      <c r="BA33" s="337"/>
      <c r="BB33" s="337"/>
      <c r="BC33" s="338"/>
      <c r="BD33" s="336"/>
      <c r="BE33" s="337"/>
      <c r="BF33" s="337"/>
      <c r="BG33" s="337"/>
      <c r="BH33" s="337"/>
      <c r="BI33" s="337"/>
      <c r="BJ33" s="338"/>
      <c r="BK33" s="33"/>
    </row>
    <row r="34" spans="1:63" ht="15" customHeight="1" x14ac:dyDescent="0.25">
      <c r="A34" s="31"/>
      <c r="B34" s="429"/>
      <c r="C34" s="430"/>
      <c r="D34" s="430"/>
      <c r="E34" s="430"/>
      <c r="F34" s="430"/>
      <c r="G34" s="431"/>
      <c r="H34" s="411"/>
      <c r="I34" s="412"/>
      <c r="J34" s="412"/>
      <c r="K34" s="412"/>
      <c r="L34" s="412"/>
      <c r="M34" s="412"/>
      <c r="N34" s="413"/>
      <c r="O34" s="417"/>
      <c r="P34" s="418"/>
      <c r="Q34" s="418"/>
      <c r="R34" s="419"/>
      <c r="S34" s="87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339"/>
      <c r="AY34" s="340"/>
      <c r="AZ34" s="340"/>
      <c r="BA34" s="340"/>
      <c r="BB34" s="340"/>
      <c r="BC34" s="341"/>
      <c r="BD34" s="339"/>
      <c r="BE34" s="340"/>
      <c r="BF34" s="340"/>
      <c r="BG34" s="340"/>
      <c r="BH34" s="340"/>
      <c r="BI34" s="340"/>
      <c r="BJ34" s="341"/>
      <c r="BK34" s="33"/>
    </row>
    <row r="35" spans="1:63" ht="15" customHeight="1" x14ac:dyDescent="0.25">
      <c r="A35" s="31"/>
      <c r="B35" s="423"/>
      <c r="C35" s="424"/>
      <c r="D35" s="424"/>
      <c r="E35" s="424"/>
      <c r="F35" s="424"/>
      <c r="G35" s="425"/>
      <c r="H35" s="432"/>
      <c r="I35" s="409"/>
      <c r="J35" s="409"/>
      <c r="K35" s="409"/>
      <c r="L35" s="409"/>
      <c r="M35" s="409"/>
      <c r="N35" s="410"/>
      <c r="O35" s="414"/>
      <c r="P35" s="415"/>
      <c r="Q35" s="415"/>
      <c r="R35" s="416"/>
      <c r="S35" s="85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336"/>
      <c r="AY35" s="337"/>
      <c r="AZ35" s="337"/>
      <c r="BA35" s="337"/>
      <c r="BB35" s="337"/>
      <c r="BC35" s="338"/>
      <c r="BD35" s="336"/>
      <c r="BE35" s="337"/>
      <c r="BF35" s="337"/>
      <c r="BG35" s="337"/>
      <c r="BH35" s="337"/>
      <c r="BI35" s="337"/>
      <c r="BJ35" s="338"/>
      <c r="BK35" s="33"/>
    </row>
    <row r="36" spans="1:63" ht="15" customHeight="1" x14ac:dyDescent="0.25">
      <c r="A36" s="31"/>
      <c r="B36" s="429"/>
      <c r="C36" s="430"/>
      <c r="D36" s="430"/>
      <c r="E36" s="430"/>
      <c r="F36" s="430"/>
      <c r="G36" s="431"/>
      <c r="H36" s="411"/>
      <c r="I36" s="412"/>
      <c r="J36" s="412"/>
      <c r="K36" s="412"/>
      <c r="L36" s="412"/>
      <c r="M36" s="412"/>
      <c r="N36" s="413"/>
      <c r="O36" s="417"/>
      <c r="P36" s="418"/>
      <c r="Q36" s="418"/>
      <c r="R36" s="419"/>
      <c r="S36" s="87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339"/>
      <c r="AY36" s="340"/>
      <c r="AZ36" s="340"/>
      <c r="BA36" s="340"/>
      <c r="BB36" s="340"/>
      <c r="BC36" s="341"/>
      <c r="BD36" s="339"/>
      <c r="BE36" s="340"/>
      <c r="BF36" s="340"/>
      <c r="BG36" s="340"/>
      <c r="BH36" s="340"/>
      <c r="BI36" s="340"/>
      <c r="BJ36" s="341"/>
      <c r="BK36" s="33"/>
    </row>
    <row r="37" spans="1:63" ht="15" customHeight="1" x14ac:dyDescent="0.25">
      <c r="A37" s="31"/>
      <c r="B37" s="423"/>
      <c r="C37" s="424"/>
      <c r="D37" s="424"/>
      <c r="E37" s="424"/>
      <c r="F37" s="424"/>
      <c r="G37" s="425"/>
      <c r="H37" s="432"/>
      <c r="I37" s="409"/>
      <c r="J37" s="409"/>
      <c r="K37" s="409"/>
      <c r="L37" s="409"/>
      <c r="M37" s="409"/>
      <c r="N37" s="410"/>
      <c r="O37" s="414"/>
      <c r="P37" s="415"/>
      <c r="Q37" s="415"/>
      <c r="R37" s="416"/>
      <c r="S37" s="85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336"/>
      <c r="AY37" s="337"/>
      <c r="AZ37" s="337"/>
      <c r="BA37" s="337"/>
      <c r="BB37" s="337"/>
      <c r="BC37" s="338"/>
      <c r="BD37" s="336"/>
      <c r="BE37" s="337"/>
      <c r="BF37" s="337"/>
      <c r="BG37" s="337"/>
      <c r="BH37" s="337"/>
      <c r="BI37" s="337"/>
      <c r="BJ37" s="338"/>
      <c r="BK37" s="33"/>
    </row>
    <row r="38" spans="1:63" ht="15" customHeight="1" x14ac:dyDescent="0.25">
      <c r="A38" s="31"/>
      <c r="B38" s="429"/>
      <c r="C38" s="430"/>
      <c r="D38" s="430"/>
      <c r="E38" s="430"/>
      <c r="F38" s="430"/>
      <c r="G38" s="431"/>
      <c r="H38" s="411"/>
      <c r="I38" s="412"/>
      <c r="J38" s="412"/>
      <c r="K38" s="412"/>
      <c r="L38" s="412"/>
      <c r="M38" s="412"/>
      <c r="N38" s="413"/>
      <c r="O38" s="417"/>
      <c r="P38" s="418"/>
      <c r="Q38" s="418"/>
      <c r="R38" s="419"/>
      <c r="S38" s="87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339"/>
      <c r="AY38" s="340"/>
      <c r="AZ38" s="340"/>
      <c r="BA38" s="340"/>
      <c r="BB38" s="340"/>
      <c r="BC38" s="341"/>
      <c r="BD38" s="339"/>
      <c r="BE38" s="340"/>
      <c r="BF38" s="340"/>
      <c r="BG38" s="340"/>
      <c r="BH38" s="340"/>
      <c r="BI38" s="340"/>
      <c r="BJ38" s="341"/>
      <c r="BK38" s="33"/>
    </row>
    <row r="39" spans="1:63" ht="15" customHeight="1" x14ac:dyDescent="0.25">
      <c r="A39" s="31"/>
      <c r="B39" s="423"/>
      <c r="C39" s="424"/>
      <c r="D39" s="424"/>
      <c r="E39" s="424"/>
      <c r="F39" s="424"/>
      <c r="G39" s="425"/>
      <c r="H39" s="432"/>
      <c r="I39" s="409"/>
      <c r="J39" s="409"/>
      <c r="K39" s="409"/>
      <c r="L39" s="409"/>
      <c r="M39" s="409"/>
      <c r="N39" s="410"/>
      <c r="O39" s="414"/>
      <c r="P39" s="415"/>
      <c r="Q39" s="415"/>
      <c r="R39" s="416"/>
      <c r="S39" s="85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336"/>
      <c r="AY39" s="337"/>
      <c r="AZ39" s="337"/>
      <c r="BA39" s="337"/>
      <c r="BB39" s="337"/>
      <c r="BC39" s="338"/>
      <c r="BD39" s="336"/>
      <c r="BE39" s="337"/>
      <c r="BF39" s="337"/>
      <c r="BG39" s="337"/>
      <c r="BH39" s="337"/>
      <c r="BI39" s="337"/>
      <c r="BJ39" s="338"/>
      <c r="BK39" s="33"/>
    </row>
    <row r="40" spans="1:63" ht="15" customHeight="1" x14ac:dyDescent="0.25">
      <c r="A40" s="31"/>
      <c r="B40" s="429"/>
      <c r="C40" s="430"/>
      <c r="D40" s="430"/>
      <c r="E40" s="430"/>
      <c r="F40" s="430"/>
      <c r="G40" s="431"/>
      <c r="H40" s="411"/>
      <c r="I40" s="412"/>
      <c r="J40" s="412"/>
      <c r="K40" s="412"/>
      <c r="L40" s="412"/>
      <c r="M40" s="412"/>
      <c r="N40" s="413"/>
      <c r="O40" s="417"/>
      <c r="P40" s="418"/>
      <c r="Q40" s="418"/>
      <c r="R40" s="419"/>
      <c r="S40" s="87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339"/>
      <c r="AY40" s="340"/>
      <c r="AZ40" s="340"/>
      <c r="BA40" s="340"/>
      <c r="BB40" s="340"/>
      <c r="BC40" s="341"/>
      <c r="BD40" s="339"/>
      <c r="BE40" s="340"/>
      <c r="BF40" s="340"/>
      <c r="BG40" s="340"/>
      <c r="BH40" s="340"/>
      <c r="BI40" s="340"/>
      <c r="BJ40" s="341"/>
      <c r="BK40" s="33"/>
    </row>
    <row r="41" spans="1:63" ht="15" customHeight="1" x14ac:dyDescent="0.25">
      <c r="A41" s="31"/>
      <c r="B41" s="423"/>
      <c r="C41" s="424"/>
      <c r="D41" s="424"/>
      <c r="E41" s="424"/>
      <c r="F41" s="424"/>
      <c r="G41" s="425"/>
      <c r="H41" s="432"/>
      <c r="I41" s="409"/>
      <c r="J41" s="409"/>
      <c r="K41" s="409"/>
      <c r="L41" s="409"/>
      <c r="M41" s="409"/>
      <c r="N41" s="410"/>
      <c r="O41" s="414"/>
      <c r="P41" s="415"/>
      <c r="Q41" s="415"/>
      <c r="R41" s="416"/>
      <c r="S41" s="85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336"/>
      <c r="AY41" s="337"/>
      <c r="AZ41" s="337"/>
      <c r="BA41" s="337"/>
      <c r="BB41" s="337"/>
      <c r="BC41" s="338"/>
      <c r="BD41" s="336"/>
      <c r="BE41" s="337"/>
      <c r="BF41" s="337"/>
      <c r="BG41" s="337"/>
      <c r="BH41" s="337"/>
      <c r="BI41" s="337"/>
      <c r="BJ41" s="338"/>
      <c r="BK41" s="33"/>
    </row>
    <row r="42" spans="1:63" ht="15" customHeight="1" x14ac:dyDescent="0.25">
      <c r="A42" s="31"/>
      <c r="B42" s="429"/>
      <c r="C42" s="430"/>
      <c r="D42" s="430"/>
      <c r="E42" s="430"/>
      <c r="F42" s="430"/>
      <c r="G42" s="431"/>
      <c r="H42" s="411"/>
      <c r="I42" s="412"/>
      <c r="J42" s="412"/>
      <c r="K42" s="412"/>
      <c r="L42" s="412"/>
      <c r="M42" s="412"/>
      <c r="N42" s="413"/>
      <c r="O42" s="417"/>
      <c r="P42" s="418"/>
      <c r="Q42" s="418"/>
      <c r="R42" s="419"/>
      <c r="S42" s="87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339"/>
      <c r="AY42" s="340"/>
      <c r="AZ42" s="340"/>
      <c r="BA42" s="340"/>
      <c r="BB42" s="340"/>
      <c r="BC42" s="341"/>
      <c r="BD42" s="339"/>
      <c r="BE42" s="340"/>
      <c r="BF42" s="340"/>
      <c r="BG42" s="340"/>
      <c r="BH42" s="340"/>
      <c r="BI42" s="340"/>
      <c r="BJ42" s="341"/>
      <c r="BK42" s="33"/>
    </row>
    <row r="43" spans="1:63" ht="15" customHeight="1" x14ac:dyDescent="0.25">
      <c r="A43" s="31"/>
      <c r="B43" s="423"/>
      <c r="C43" s="424"/>
      <c r="D43" s="424"/>
      <c r="E43" s="424"/>
      <c r="F43" s="424"/>
      <c r="G43" s="425"/>
      <c r="H43" s="408"/>
      <c r="I43" s="409"/>
      <c r="J43" s="409"/>
      <c r="K43" s="409"/>
      <c r="L43" s="409"/>
      <c r="M43" s="409"/>
      <c r="N43" s="410"/>
      <c r="O43" s="414"/>
      <c r="P43" s="415"/>
      <c r="Q43" s="415"/>
      <c r="R43" s="416"/>
      <c r="S43" s="85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336"/>
      <c r="AY43" s="337"/>
      <c r="AZ43" s="337"/>
      <c r="BA43" s="337"/>
      <c r="BB43" s="337"/>
      <c r="BC43" s="338"/>
      <c r="BD43" s="336"/>
      <c r="BE43" s="337"/>
      <c r="BF43" s="337"/>
      <c r="BG43" s="337"/>
      <c r="BH43" s="337"/>
      <c r="BI43" s="337"/>
      <c r="BJ43" s="338"/>
      <c r="BK43" s="33"/>
    </row>
    <row r="44" spans="1:63" ht="15" customHeight="1" x14ac:dyDescent="0.25">
      <c r="A44" s="31"/>
      <c r="B44" s="429"/>
      <c r="C44" s="430"/>
      <c r="D44" s="430"/>
      <c r="E44" s="430"/>
      <c r="F44" s="430"/>
      <c r="G44" s="431"/>
      <c r="H44" s="411"/>
      <c r="I44" s="412"/>
      <c r="J44" s="412"/>
      <c r="K44" s="412"/>
      <c r="L44" s="412"/>
      <c r="M44" s="412"/>
      <c r="N44" s="413"/>
      <c r="O44" s="417"/>
      <c r="P44" s="418"/>
      <c r="Q44" s="418"/>
      <c r="R44" s="419"/>
      <c r="S44" s="85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339"/>
      <c r="AY44" s="340"/>
      <c r="AZ44" s="340"/>
      <c r="BA44" s="340"/>
      <c r="BB44" s="340"/>
      <c r="BC44" s="341"/>
      <c r="BD44" s="339"/>
      <c r="BE44" s="340"/>
      <c r="BF44" s="340"/>
      <c r="BG44" s="340"/>
      <c r="BH44" s="340"/>
      <c r="BI44" s="340"/>
      <c r="BJ44" s="341"/>
      <c r="BK44" s="33"/>
    </row>
    <row r="45" spans="1:63" ht="15" customHeight="1" x14ac:dyDescent="0.25">
      <c r="A45" s="31"/>
      <c r="B45" s="464"/>
      <c r="C45" s="465"/>
      <c r="D45" s="465"/>
      <c r="E45" s="465"/>
      <c r="F45" s="465"/>
      <c r="G45" s="466"/>
      <c r="H45" s="396"/>
      <c r="I45" s="397"/>
      <c r="J45" s="397"/>
      <c r="K45" s="397"/>
      <c r="L45" s="397"/>
      <c r="M45" s="397"/>
      <c r="N45" s="398"/>
      <c r="O45" s="402"/>
      <c r="P45" s="403"/>
      <c r="Q45" s="403"/>
      <c r="R45" s="404"/>
      <c r="S45" s="145"/>
      <c r="T45" s="146"/>
      <c r="U45" s="146"/>
      <c r="V45" s="146"/>
      <c r="W45" s="146"/>
      <c r="X45" s="14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336"/>
      <c r="AY45" s="337"/>
      <c r="AZ45" s="337"/>
      <c r="BA45" s="337"/>
      <c r="BB45" s="337"/>
      <c r="BC45" s="338"/>
      <c r="BD45" s="336"/>
      <c r="BE45" s="337"/>
      <c r="BF45" s="337"/>
      <c r="BG45" s="337"/>
      <c r="BH45" s="337"/>
      <c r="BI45" s="337"/>
      <c r="BJ45" s="338"/>
      <c r="BK45" s="33"/>
    </row>
    <row r="46" spans="1:63" ht="15" customHeight="1" x14ac:dyDescent="0.25">
      <c r="A46" s="31"/>
      <c r="B46" s="467"/>
      <c r="C46" s="468"/>
      <c r="D46" s="468"/>
      <c r="E46" s="468"/>
      <c r="F46" s="468"/>
      <c r="G46" s="469"/>
      <c r="H46" s="399"/>
      <c r="I46" s="400"/>
      <c r="J46" s="400"/>
      <c r="K46" s="400"/>
      <c r="L46" s="400"/>
      <c r="M46" s="400"/>
      <c r="N46" s="401"/>
      <c r="O46" s="405"/>
      <c r="P46" s="406"/>
      <c r="Q46" s="406"/>
      <c r="R46" s="407"/>
      <c r="S46" s="145"/>
      <c r="T46" s="147"/>
      <c r="U46" s="147"/>
      <c r="V46" s="147"/>
      <c r="W46" s="147"/>
      <c r="X46" s="147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339"/>
      <c r="AY46" s="340"/>
      <c r="AZ46" s="340"/>
      <c r="BA46" s="340"/>
      <c r="BB46" s="340"/>
      <c r="BC46" s="341"/>
      <c r="BD46" s="339"/>
      <c r="BE46" s="340"/>
      <c r="BF46" s="340"/>
      <c r="BG46" s="340"/>
      <c r="BH46" s="340"/>
      <c r="BI46" s="340"/>
      <c r="BJ46" s="341"/>
      <c r="BK46" s="33"/>
    </row>
    <row r="47" spans="1:63" ht="15" customHeight="1" x14ac:dyDescent="0.25">
      <c r="A47" s="31"/>
      <c r="B47" s="384"/>
      <c r="C47" s="385"/>
      <c r="D47" s="385"/>
      <c r="E47" s="385"/>
      <c r="F47" s="385"/>
      <c r="G47" s="386"/>
      <c r="H47" s="342"/>
      <c r="I47" s="343"/>
      <c r="J47" s="343"/>
      <c r="K47" s="343"/>
      <c r="L47" s="343"/>
      <c r="M47" s="343"/>
      <c r="N47" s="344"/>
      <c r="O47" s="348"/>
      <c r="P47" s="349"/>
      <c r="Q47" s="349"/>
      <c r="R47" s="350"/>
      <c r="S47" s="149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336"/>
      <c r="AY47" s="337"/>
      <c r="AZ47" s="337"/>
      <c r="BA47" s="337"/>
      <c r="BB47" s="337"/>
      <c r="BC47" s="338"/>
      <c r="BD47" s="336"/>
      <c r="BE47" s="337"/>
      <c r="BF47" s="337"/>
      <c r="BG47" s="337"/>
      <c r="BH47" s="337"/>
      <c r="BI47" s="337"/>
      <c r="BJ47" s="338"/>
      <c r="BK47" s="33"/>
    </row>
    <row r="48" spans="1:63" ht="15" customHeight="1" x14ac:dyDescent="0.25">
      <c r="A48" s="31"/>
      <c r="B48" s="387"/>
      <c r="C48" s="388"/>
      <c r="D48" s="388"/>
      <c r="E48" s="388"/>
      <c r="F48" s="388"/>
      <c r="G48" s="389"/>
      <c r="H48" s="345"/>
      <c r="I48" s="346"/>
      <c r="J48" s="346"/>
      <c r="K48" s="346"/>
      <c r="L48" s="346"/>
      <c r="M48" s="346"/>
      <c r="N48" s="347"/>
      <c r="O48" s="351"/>
      <c r="P48" s="352"/>
      <c r="Q48" s="352"/>
      <c r="R48" s="353"/>
      <c r="S48" s="87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339"/>
      <c r="AY48" s="340"/>
      <c r="AZ48" s="340"/>
      <c r="BA48" s="340"/>
      <c r="BB48" s="340"/>
      <c r="BC48" s="341"/>
      <c r="BD48" s="339"/>
      <c r="BE48" s="340"/>
      <c r="BF48" s="340"/>
      <c r="BG48" s="340"/>
      <c r="BH48" s="340"/>
      <c r="BI48" s="340"/>
      <c r="BJ48" s="341"/>
      <c r="BK48" s="33"/>
    </row>
    <row r="49" spans="1:63" ht="15" customHeight="1" x14ac:dyDescent="0.25">
      <c r="A49" s="31"/>
      <c r="B49" s="276"/>
      <c r="C49" s="277"/>
      <c r="D49" s="277"/>
      <c r="E49" s="277"/>
      <c r="F49" s="277"/>
      <c r="G49" s="278"/>
      <c r="H49" s="282"/>
      <c r="I49" s="283"/>
      <c r="J49" s="283"/>
      <c r="K49" s="283"/>
      <c r="L49" s="283"/>
      <c r="M49" s="283"/>
      <c r="N49" s="284"/>
      <c r="O49" s="288"/>
      <c r="P49" s="289"/>
      <c r="Q49" s="289"/>
      <c r="R49" s="290"/>
      <c r="S49" s="150"/>
      <c r="T49" s="151"/>
      <c r="U49" s="151"/>
      <c r="V49" s="151"/>
      <c r="W49" s="151"/>
      <c r="X49" s="151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336"/>
      <c r="AY49" s="337"/>
      <c r="AZ49" s="337"/>
      <c r="BA49" s="337"/>
      <c r="BB49" s="337"/>
      <c r="BC49" s="338"/>
      <c r="BD49" s="336"/>
      <c r="BE49" s="337"/>
      <c r="BF49" s="337"/>
      <c r="BG49" s="337"/>
      <c r="BH49" s="337"/>
      <c r="BI49" s="337"/>
      <c r="BJ49" s="338"/>
      <c r="BK49" s="33"/>
    </row>
    <row r="50" spans="1:63" ht="15" customHeight="1" x14ac:dyDescent="0.25">
      <c r="A50" s="31"/>
      <c r="B50" s="279"/>
      <c r="C50" s="280"/>
      <c r="D50" s="280"/>
      <c r="E50" s="280"/>
      <c r="F50" s="280"/>
      <c r="G50" s="281"/>
      <c r="H50" s="285"/>
      <c r="I50" s="286"/>
      <c r="J50" s="286"/>
      <c r="K50" s="286"/>
      <c r="L50" s="286"/>
      <c r="M50" s="286"/>
      <c r="N50" s="287"/>
      <c r="O50" s="291"/>
      <c r="P50" s="292"/>
      <c r="Q50" s="292"/>
      <c r="R50" s="293"/>
      <c r="S50" s="152"/>
      <c r="T50" s="153"/>
      <c r="U50" s="153"/>
      <c r="V50" s="153"/>
      <c r="W50" s="153"/>
      <c r="X50" s="153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339"/>
      <c r="AY50" s="340"/>
      <c r="AZ50" s="340"/>
      <c r="BA50" s="340"/>
      <c r="BB50" s="340"/>
      <c r="BC50" s="341"/>
      <c r="BD50" s="339"/>
      <c r="BE50" s="340"/>
      <c r="BF50" s="340"/>
      <c r="BG50" s="340"/>
      <c r="BH50" s="340"/>
      <c r="BI50" s="340"/>
      <c r="BJ50" s="341"/>
      <c r="BK50" s="33"/>
    </row>
    <row r="51" spans="1:63" ht="15" customHeight="1" x14ac:dyDescent="0.25">
      <c r="A51" s="31"/>
      <c r="B51" s="372"/>
      <c r="C51" s="373"/>
      <c r="D51" s="373"/>
      <c r="E51" s="373"/>
      <c r="F51" s="373"/>
      <c r="G51" s="374"/>
      <c r="H51" s="378"/>
      <c r="I51" s="379"/>
      <c r="J51" s="379"/>
      <c r="K51" s="379"/>
      <c r="L51" s="379"/>
      <c r="M51" s="379"/>
      <c r="N51" s="380"/>
      <c r="O51" s="390"/>
      <c r="P51" s="391"/>
      <c r="Q51" s="391"/>
      <c r="R51" s="392"/>
      <c r="S51" s="154"/>
      <c r="T51" s="155"/>
      <c r="U51" s="155"/>
      <c r="V51" s="155"/>
      <c r="W51" s="155"/>
      <c r="X51" s="155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336"/>
      <c r="AY51" s="337"/>
      <c r="AZ51" s="337"/>
      <c r="BA51" s="337"/>
      <c r="BB51" s="337"/>
      <c r="BC51" s="338"/>
      <c r="BD51" s="336"/>
      <c r="BE51" s="337"/>
      <c r="BF51" s="337"/>
      <c r="BG51" s="337"/>
      <c r="BH51" s="337"/>
      <c r="BI51" s="337"/>
      <c r="BJ51" s="338"/>
      <c r="BK51" s="33"/>
    </row>
    <row r="52" spans="1:63" ht="15" customHeight="1" x14ac:dyDescent="0.25">
      <c r="A52" s="31"/>
      <c r="B52" s="375"/>
      <c r="C52" s="376"/>
      <c r="D52" s="376"/>
      <c r="E52" s="376"/>
      <c r="F52" s="376"/>
      <c r="G52" s="377"/>
      <c r="H52" s="381"/>
      <c r="I52" s="382"/>
      <c r="J52" s="382"/>
      <c r="K52" s="382"/>
      <c r="L52" s="382"/>
      <c r="M52" s="382"/>
      <c r="N52" s="383"/>
      <c r="O52" s="393"/>
      <c r="P52" s="394"/>
      <c r="Q52" s="394"/>
      <c r="R52" s="395"/>
      <c r="S52" s="156"/>
      <c r="T52" s="157"/>
      <c r="U52" s="157"/>
      <c r="V52" s="157"/>
      <c r="W52" s="157"/>
      <c r="X52" s="157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339"/>
      <c r="AY52" s="340"/>
      <c r="AZ52" s="340"/>
      <c r="BA52" s="340"/>
      <c r="BB52" s="340"/>
      <c r="BC52" s="341"/>
      <c r="BD52" s="339"/>
      <c r="BE52" s="340"/>
      <c r="BF52" s="340"/>
      <c r="BG52" s="340"/>
      <c r="BH52" s="340"/>
      <c r="BI52" s="340"/>
      <c r="BJ52" s="341"/>
      <c r="BK52" s="33"/>
    </row>
    <row r="53" spans="1:63" ht="15" customHeight="1" x14ac:dyDescent="0.25">
      <c r="A53" s="31"/>
      <c r="B53" s="354"/>
      <c r="C53" s="355"/>
      <c r="D53" s="355"/>
      <c r="E53" s="355"/>
      <c r="F53" s="355"/>
      <c r="G53" s="356"/>
      <c r="H53" s="360"/>
      <c r="I53" s="361"/>
      <c r="J53" s="361"/>
      <c r="K53" s="361"/>
      <c r="L53" s="361"/>
      <c r="M53" s="361"/>
      <c r="N53" s="362"/>
      <c r="O53" s="366"/>
      <c r="P53" s="367"/>
      <c r="Q53" s="367"/>
      <c r="R53" s="368"/>
      <c r="S53" s="158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336"/>
      <c r="AY53" s="337"/>
      <c r="AZ53" s="337"/>
      <c r="BA53" s="337"/>
      <c r="BB53" s="337"/>
      <c r="BC53" s="338"/>
      <c r="BD53" s="336"/>
      <c r="BE53" s="337"/>
      <c r="BF53" s="337"/>
      <c r="BG53" s="337"/>
      <c r="BH53" s="337"/>
      <c r="BI53" s="337"/>
      <c r="BJ53" s="338"/>
      <c r="BK53" s="33"/>
    </row>
    <row r="54" spans="1:63" ht="15" customHeight="1" x14ac:dyDescent="0.25">
      <c r="A54" s="31"/>
      <c r="B54" s="357"/>
      <c r="C54" s="358"/>
      <c r="D54" s="358"/>
      <c r="E54" s="358"/>
      <c r="F54" s="358"/>
      <c r="G54" s="359"/>
      <c r="H54" s="363"/>
      <c r="I54" s="364"/>
      <c r="J54" s="364"/>
      <c r="K54" s="364"/>
      <c r="L54" s="364"/>
      <c r="M54" s="364"/>
      <c r="N54" s="365"/>
      <c r="O54" s="369"/>
      <c r="P54" s="370"/>
      <c r="Q54" s="370"/>
      <c r="R54" s="371"/>
      <c r="S54" s="87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339"/>
      <c r="AY54" s="340"/>
      <c r="AZ54" s="340"/>
      <c r="BA54" s="340"/>
      <c r="BB54" s="340"/>
      <c r="BC54" s="341"/>
      <c r="BD54" s="339"/>
      <c r="BE54" s="340"/>
      <c r="BF54" s="340"/>
      <c r="BG54" s="340"/>
      <c r="BH54" s="340"/>
      <c r="BI54" s="340"/>
      <c r="BJ54" s="341"/>
      <c r="BK54" s="33"/>
    </row>
    <row r="55" spans="1:63" ht="15" customHeight="1" x14ac:dyDescent="0.25">
      <c r="A55" s="31"/>
      <c r="B55" s="318"/>
      <c r="C55" s="319"/>
      <c r="D55" s="319"/>
      <c r="E55" s="319"/>
      <c r="F55" s="319"/>
      <c r="G55" s="320"/>
      <c r="H55" s="324"/>
      <c r="I55" s="325"/>
      <c r="J55" s="325"/>
      <c r="K55" s="325"/>
      <c r="L55" s="325"/>
      <c r="M55" s="325"/>
      <c r="N55" s="326"/>
      <c r="O55" s="330"/>
      <c r="P55" s="331"/>
      <c r="Q55" s="331"/>
      <c r="R55" s="332"/>
      <c r="S55" s="159"/>
      <c r="T55" s="160"/>
      <c r="U55" s="160"/>
      <c r="V55" s="160"/>
      <c r="W55" s="160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336"/>
      <c r="AY55" s="337"/>
      <c r="AZ55" s="337"/>
      <c r="BA55" s="337"/>
      <c r="BB55" s="337"/>
      <c r="BC55" s="338"/>
      <c r="BD55" s="336"/>
      <c r="BE55" s="337"/>
      <c r="BF55" s="337"/>
      <c r="BG55" s="337"/>
      <c r="BH55" s="337"/>
      <c r="BI55" s="337"/>
      <c r="BJ55" s="338"/>
      <c r="BK55" s="33"/>
    </row>
    <row r="56" spans="1:63" ht="15" customHeight="1" x14ac:dyDescent="0.25">
      <c r="A56" s="31"/>
      <c r="B56" s="321"/>
      <c r="C56" s="322"/>
      <c r="D56" s="322"/>
      <c r="E56" s="322"/>
      <c r="F56" s="322"/>
      <c r="G56" s="323"/>
      <c r="H56" s="327"/>
      <c r="I56" s="328"/>
      <c r="J56" s="328"/>
      <c r="K56" s="328"/>
      <c r="L56" s="328"/>
      <c r="M56" s="328"/>
      <c r="N56" s="329"/>
      <c r="O56" s="333"/>
      <c r="P56" s="334"/>
      <c r="Q56" s="334"/>
      <c r="R56" s="335"/>
      <c r="S56" s="159"/>
      <c r="T56" s="161"/>
      <c r="U56" s="161"/>
      <c r="V56" s="161"/>
      <c r="W56" s="161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339"/>
      <c r="AY56" s="340"/>
      <c r="AZ56" s="340"/>
      <c r="BA56" s="340"/>
      <c r="BB56" s="340"/>
      <c r="BC56" s="341"/>
      <c r="BD56" s="339"/>
      <c r="BE56" s="340"/>
      <c r="BF56" s="340"/>
      <c r="BG56" s="340"/>
      <c r="BH56" s="340"/>
      <c r="BI56" s="340"/>
      <c r="BJ56" s="341"/>
      <c r="BK56" s="33"/>
    </row>
    <row r="57" spans="1:63" ht="15" customHeight="1" x14ac:dyDescent="0.25">
      <c r="A57" s="31"/>
      <c r="B57" s="300"/>
      <c r="C57" s="301"/>
      <c r="D57" s="301"/>
      <c r="E57" s="301"/>
      <c r="F57" s="301"/>
      <c r="G57" s="302"/>
      <c r="H57" s="306"/>
      <c r="I57" s="307"/>
      <c r="J57" s="307"/>
      <c r="K57" s="307"/>
      <c r="L57" s="307"/>
      <c r="M57" s="307"/>
      <c r="N57" s="308"/>
      <c r="O57" s="312"/>
      <c r="P57" s="313"/>
      <c r="Q57" s="313"/>
      <c r="R57" s="314"/>
      <c r="S57" s="164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336"/>
      <c r="AY57" s="337"/>
      <c r="AZ57" s="337"/>
      <c r="BA57" s="337"/>
      <c r="BB57" s="337"/>
      <c r="BC57" s="338"/>
      <c r="BD57" s="336"/>
      <c r="BE57" s="337"/>
      <c r="BF57" s="337"/>
      <c r="BG57" s="337"/>
      <c r="BH57" s="337"/>
      <c r="BI57" s="337"/>
      <c r="BJ57" s="338"/>
      <c r="BK57" s="33"/>
    </row>
    <row r="58" spans="1:63" ht="15" customHeight="1" x14ac:dyDescent="0.25">
      <c r="A58" s="31"/>
      <c r="B58" s="303"/>
      <c r="C58" s="304"/>
      <c r="D58" s="304"/>
      <c r="E58" s="304"/>
      <c r="F58" s="304"/>
      <c r="G58" s="305"/>
      <c r="H58" s="309"/>
      <c r="I58" s="310"/>
      <c r="J58" s="310"/>
      <c r="K58" s="310"/>
      <c r="L58" s="310"/>
      <c r="M58" s="310"/>
      <c r="N58" s="311"/>
      <c r="O58" s="315"/>
      <c r="P58" s="316"/>
      <c r="Q58" s="316"/>
      <c r="R58" s="317"/>
      <c r="S58" s="87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339"/>
      <c r="AY58" s="340"/>
      <c r="AZ58" s="340"/>
      <c r="BA58" s="340"/>
      <c r="BB58" s="340"/>
      <c r="BC58" s="341"/>
      <c r="BD58" s="339"/>
      <c r="BE58" s="340"/>
      <c r="BF58" s="340"/>
      <c r="BG58" s="340"/>
      <c r="BH58" s="340"/>
      <c r="BI58" s="340"/>
      <c r="BJ58" s="341"/>
      <c r="BK58" s="33"/>
    </row>
    <row r="59" spans="1:63" s="97" customFormat="1" ht="15" customHeight="1" x14ac:dyDescent="0.25">
      <c r="A59" s="165"/>
      <c r="B59" s="276"/>
      <c r="C59" s="277"/>
      <c r="D59" s="277"/>
      <c r="E59" s="277"/>
      <c r="F59" s="277"/>
      <c r="G59" s="278"/>
      <c r="H59" s="282"/>
      <c r="I59" s="283"/>
      <c r="J59" s="283"/>
      <c r="K59" s="283"/>
      <c r="L59" s="283"/>
      <c r="M59" s="283"/>
      <c r="N59" s="284"/>
      <c r="O59" s="288"/>
      <c r="P59" s="289"/>
      <c r="Q59" s="289"/>
      <c r="R59" s="290"/>
      <c r="S59" s="150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294"/>
      <c r="AY59" s="295"/>
      <c r="AZ59" s="295"/>
      <c r="BA59" s="295"/>
      <c r="BB59" s="295"/>
      <c r="BC59" s="296"/>
      <c r="BD59" s="294"/>
      <c r="BE59" s="295"/>
      <c r="BF59" s="295"/>
      <c r="BG59" s="295"/>
      <c r="BH59" s="295"/>
      <c r="BI59" s="295"/>
      <c r="BJ59" s="296"/>
      <c r="BK59" s="166"/>
    </row>
    <row r="60" spans="1:63" s="97" customFormat="1" ht="15" customHeight="1" x14ac:dyDescent="0.25">
      <c r="A60" s="165"/>
      <c r="B60" s="279"/>
      <c r="C60" s="280"/>
      <c r="D60" s="280"/>
      <c r="E60" s="280"/>
      <c r="F60" s="280"/>
      <c r="G60" s="281"/>
      <c r="H60" s="285"/>
      <c r="I60" s="286"/>
      <c r="J60" s="286"/>
      <c r="K60" s="286"/>
      <c r="L60" s="286"/>
      <c r="M60" s="286"/>
      <c r="N60" s="287"/>
      <c r="O60" s="291"/>
      <c r="P60" s="292"/>
      <c r="Q60" s="292"/>
      <c r="R60" s="293"/>
      <c r="S60" s="152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297"/>
      <c r="AY60" s="298"/>
      <c r="AZ60" s="298"/>
      <c r="BA60" s="298"/>
      <c r="BB60" s="298"/>
      <c r="BC60" s="299"/>
      <c r="BD60" s="297"/>
      <c r="BE60" s="298"/>
      <c r="BF60" s="298"/>
      <c r="BG60" s="298"/>
      <c r="BH60" s="298"/>
      <c r="BI60" s="298"/>
      <c r="BJ60" s="299"/>
      <c r="BK60" s="166"/>
    </row>
    <row r="61" spans="1:63" s="97" customFormat="1" ht="15" customHeight="1" x14ac:dyDescent="0.25">
      <c r="A61" s="165"/>
      <c r="B61" s="446"/>
      <c r="C61" s="447"/>
      <c r="D61" s="447"/>
      <c r="E61" s="447"/>
      <c r="F61" s="447"/>
      <c r="G61" s="448"/>
      <c r="H61" s="452"/>
      <c r="I61" s="453"/>
      <c r="J61" s="453"/>
      <c r="K61" s="453"/>
      <c r="L61" s="453"/>
      <c r="M61" s="453"/>
      <c r="N61" s="454"/>
      <c r="O61" s="458"/>
      <c r="P61" s="459"/>
      <c r="Q61" s="459"/>
      <c r="R61" s="460"/>
      <c r="S61" s="167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294"/>
      <c r="AY61" s="295"/>
      <c r="AZ61" s="295"/>
      <c r="BA61" s="295"/>
      <c r="BB61" s="295"/>
      <c r="BC61" s="296"/>
      <c r="BD61" s="294"/>
      <c r="BE61" s="295"/>
      <c r="BF61" s="295"/>
      <c r="BG61" s="295"/>
      <c r="BH61" s="295"/>
      <c r="BI61" s="295"/>
      <c r="BJ61" s="296"/>
      <c r="BK61" s="166"/>
    </row>
    <row r="62" spans="1:63" s="97" customFormat="1" ht="15" customHeight="1" x14ac:dyDescent="0.25">
      <c r="A62" s="165"/>
      <c r="B62" s="449"/>
      <c r="C62" s="450"/>
      <c r="D62" s="450"/>
      <c r="E62" s="450"/>
      <c r="F62" s="450"/>
      <c r="G62" s="451"/>
      <c r="H62" s="455"/>
      <c r="I62" s="456"/>
      <c r="J62" s="456"/>
      <c r="K62" s="456"/>
      <c r="L62" s="456"/>
      <c r="M62" s="456"/>
      <c r="N62" s="457"/>
      <c r="O62" s="461"/>
      <c r="P62" s="462"/>
      <c r="Q62" s="462"/>
      <c r="R62" s="463"/>
      <c r="S62" s="169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297"/>
      <c r="AY62" s="298"/>
      <c r="AZ62" s="298"/>
      <c r="BA62" s="298"/>
      <c r="BB62" s="298"/>
      <c r="BC62" s="299"/>
      <c r="BD62" s="297"/>
      <c r="BE62" s="298"/>
      <c r="BF62" s="298"/>
      <c r="BG62" s="298"/>
      <c r="BH62" s="298"/>
      <c r="BI62" s="298"/>
      <c r="BJ62" s="299"/>
      <c r="BK62" s="166"/>
    </row>
    <row r="63" spans="1:63" ht="15" customHeight="1" x14ac:dyDescent="0.25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8"/>
    </row>
  </sheetData>
  <mergeCells count="148">
    <mergeCell ref="B61:G62"/>
    <mergeCell ref="H61:N62"/>
    <mergeCell ref="O61:R62"/>
    <mergeCell ref="AX61:BC62"/>
    <mergeCell ref="BD61:BJ62"/>
    <mergeCell ref="O39:R40"/>
    <mergeCell ref="AX39:BC40"/>
    <mergeCell ref="BD39:BJ40"/>
    <mergeCell ref="B37:G38"/>
    <mergeCell ref="H37:N38"/>
    <mergeCell ref="O37:R38"/>
    <mergeCell ref="AX37:BC38"/>
    <mergeCell ref="BD37:BJ38"/>
    <mergeCell ref="B43:G44"/>
    <mergeCell ref="H43:N44"/>
    <mergeCell ref="O43:R44"/>
    <mergeCell ref="AX43:BC44"/>
    <mergeCell ref="BD43:BJ44"/>
    <mergeCell ref="B41:G42"/>
    <mergeCell ref="H41:N42"/>
    <mergeCell ref="O41:R42"/>
    <mergeCell ref="AX41:BC42"/>
    <mergeCell ref="BD41:BJ42"/>
    <mergeCell ref="B45:G46"/>
    <mergeCell ref="AX31:BC32"/>
    <mergeCell ref="BD31:BJ32"/>
    <mergeCell ref="B28:G30"/>
    <mergeCell ref="H28:N30"/>
    <mergeCell ref="O28:R30"/>
    <mergeCell ref="AX28:BC30"/>
    <mergeCell ref="BD28:BJ30"/>
    <mergeCell ref="B35:G36"/>
    <mergeCell ref="H35:N36"/>
    <mergeCell ref="O35:R36"/>
    <mergeCell ref="AX35:BC36"/>
    <mergeCell ref="BD35:BJ36"/>
    <mergeCell ref="B33:G34"/>
    <mergeCell ref="H33:N34"/>
    <mergeCell ref="O33:R34"/>
    <mergeCell ref="S33:AW33"/>
    <mergeCell ref="AX33:BC34"/>
    <mergeCell ref="BD33:BJ34"/>
    <mergeCell ref="A1:J1"/>
    <mergeCell ref="BH2:BK3"/>
    <mergeCell ref="BC2:BG3"/>
    <mergeCell ref="AY2:BB3"/>
    <mergeCell ref="AT2:AX3"/>
    <mergeCell ref="AP2:AS3"/>
    <mergeCell ref="AP1:AS1"/>
    <mergeCell ref="W1:AO3"/>
    <mergeCell ref="K1:V1"/>
    <mergeCell ref="K2:V3"/>
    <mergeCell ref="A2:J3"/>
    <mergeCell ref="BD13:BJ14"/>
    <mergeCell ref="BH1:BK1"/>
    <mergeCell ref="BC1:BG1"/>
    <mergeCell ref="AY1:BB1"/>
    <mergeCell ref="AT1:AX1"/>
    <mergeCell ref="AP4:BK4"/>
    <mergeCell ref="BD10:BJ10"/>
    <mergeCell ref="AX11:BC12"/>
    <mergeCell ref="BD11:BJ12"/>
    <mergeCell ref="AX23:BC25"/>
    <mergeCell ref="BD23:BJ25"/>
    <mergeCell ref="H23:N25"/>
    <mergeCell ref="AX19:BC20"/>
    <mergeCell ref="AX15:BC16"/>
    <mergeCell ref="AX17:BC18"/>
    <mergeCell ref="O19:R20"/>
    <mergeCell ref="O15:R16"/>
    <mergeCell ref="AX26:BC27"/>
    <mergeCell ref="BD26:BJ27"/>
    <mergeCell ref="BD19:BJ20"/>
    <mergeCell ref="AX21:BC22"/>
    <mergeCell ref="BD21:BJ22"/>
    <mergeCell ref="BD15:BJ16"/>
    <mergeCell ref="BD17:BJ18"/>
    <mergeCell ref="Z4:AO4"/>
    <mergeCell ref="AX13:BC14"/>
    <mergeCell ref="A4:G4"/>
    <mergeCell ref="B11:G12"/>
    <mergeCell ref="H11:N12"/>
    <mergeCell ref="AX10:BC10"/>
    <mergeCell ref="O11:R12"/>
    <mergeCell ref="B13:G14"/>
    <mergeCell ref="H13:N14"/>
    <mergeCell ref="O13:R14"/>
    <mergeCell ref="U4:Y4"/>
    <mergeCell ref="H45:N46"/>
    <mergeCell ref="O45:R46"/>
    <mergeCell ref="H4:T4"/>
    <mergeCell ref="H21:N22"/>
    <mergeCell ref="O21:R22"/>
    <mergeCell ref="O23:R25"/>
    <mergeCell ref="B23:G25"/>
    <mergeCell ref="B21:G22"/>
    <mergeCell ref="B19:G20"/>
    <mergeCell ref="H19:N20"/>
    <mergeCell ref="B15:G16"/>
    <mergeCell ref="H15:N16"/>
    <mergeCell ref="B26:G27"/>
    <mergeCell ref="H26:N27"/>
    <mergeCell ref="O26:R27"/>
    <mergeCell ref="B31:G32"/>
    <mergeCell ref="H31:N32"/>
    <mergeCell ref="O31:R32"/>
    <mergeCell ref="B17:G18"/>
    <mergeCell ref="H17:N18"/>
    <mergeCell ref="O17:R18"/>
    <mergeCell ref="B39:G40"/>
    <mergeCell ref="H39:N40"/>
    <mergeCell ref="BD51:BJ52"/>
    <mergeCell ref="AX53:BC54"/>
    <mergeCell ref="BD53:BJ54"/>
    <mergeCell ref="AX51:BC52"/>
    <mergeCell ref="AX45:BC46"/>
    <mergeCell ref="BD45:BJ46"/>
    <mergeCell ref="AX55:BC56"/>
    <mergeCell ref="BD55:BJ56"/>
    <mergeCell ref="BD49:BJ50"/>
    <mergeCell ref="BD47:BJ48"/>
    <mergeCell ref="H47:N48"/>
    <mergeCell ref="O47:R48"/>
    <mergeCell ref="AX49:BC50"/>
    <mergeCell ref="B53:G54"/>
    <mergeCell ref="H53:N54"/>
    <mergeCell ref="O53:R54"/>
    <mergeCell ref="B51:G52"/>
    <mergeCell ref="H51:N52"/>
    <mergeCell ref="AX47:BC48"/>
    <mergeCell ref="B47:G48"/>
    <mergeCell ref="B49:G50"/>
    <mergeCell ref="H49:N50"/>
    <mergeCell ref="O49:R50"/>
    <mergeCell ref="O51:R52"/>
    <mergeCell ref="B59:G60"/>
    <mergeCell ref="H59:N60"/>
    <mergeCell ref="O59:R60"/>
    <mergeCell ref="AX59:BC60"/>
    <mergeCell ref="BD59:BJ60"/>
    <mergeCell ref="B57:G58"/>
    <mergeCell ref="H57:N58"/>
    <mergeCell ref="O57:R58"/>
    <mergeCell ref="B55:G56"/>
    <mergeCell ref="H55:N56"/>
    <mergeCell ref="O55:R56"/>
    <mergeCell ref="AX57:BC58"/>
    <mergeCell ref="BD57:BJ58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N57"/>
  <sheetViews>
    <sheetView showGridLines="0" view="pageBreakPreview" topLeftCell="A40" zoomScaleNormal="75" zoomScaleSheetLayoutView="100" workbookViewId="0">
      <selection activeCell="H4" sqref="H4:T4"/>
    </sheetView>
  </sheetViews>
  <sheetFormatPr defaultColWidth="3.77734375" defaultRowHeight="19.5" customHeight="1" x14ac:dyDescent="0.25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92" ht="24.95" customHeight="1" x14ac:dyDescent="0.25">
      <c r="A1" s="244" t="s">
        <v>25</v>
      </c>
      <c r="B1" s="245"/>
      <c r="C1" s="245"/>
      <c r="D1" s="245"/>
      <c r="E1" s="245"/>
      <c r="F1" s="245"/>
      <c r="G1" s="245"/>
      <c r="H1" s="245"/>
      <c r="I1" s="245"/>
      <c r="J1" s="246"/>
      <c r="K1" s="244" t="s">
        <v>26</v>
      </c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6"/>
      <c r="W1" s="247" t="str">
        <f>IF(Bìa!W1="","",Bìa!W1)</f>
        <v>TKCB</v>
      </c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9"/>
      <c r="AP1" s="244" t="s">
        <v>18</v>
      </c>
      <c r="AQ1" s="245"/>
      <c r="AR1" s="245"/>
      <c r="AS1" s="246"/>
      <c r="AT1" s="244" t="s">
        <v>19</v>
      </c>
      <c r="AU1" s="245"/>
      <c r="AV1" s="245"/>
      <c r="AW1" s="245"/>
      <c r="AX1" s="246"/>
      <c r="AY1" s="244" t="s">
        <v>20</v>
      </c>
      <c r="AZ1" s="245"/>
      <c r="BA1" s="245"/>
      <c r="BB1" s="246"/>
      <c r="BC1" s="244" t="s">
        <v>21</v>
      </c>
      <c r="BD1" s="245"/>
      <c r="BE1" s="245"/>
      <c r="BF1" s="245"/>
      <c r="BG1" s="246"/>
      <c r="BH1" s="244" t="s">
        <v>2</v>
      </c>
      <c r="BI1" s="245"/>
      <c r="BJ1" s="245"/>
      <c r="BK1" s="246"/>
    </row>
    <row r="2" spans="1:92" ht="15" customHeight="1" x14ac:dyDescent="0.25">
      <c r="A2" s="260" t="str">
        <f>IF(Bìa!A2="","",Bìa!A2)</f>
        <v>Manager User</v>
      </c>
      <c r="B2" s="239"/>
      <c r="C2" s="239"/>
      <c r="D2" s="239"/>
      <c r="E2" s="239"/>
      <c r="F2" s="239"/>
      <c r="G2" s="239"/>
      <c r="H2" s="239"/>
      <c r="I2" s="239"/>
      <c r="J2" s="240"/>
      <c r="K2" s="260" t="str">
        <f>IF(Bìa!K2="","",Bìa!K2)</f>
        <v>Thiết kế API</v>
      </c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40"/>
      <c r="W2" s="250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2"/>
      <c r="AP2" s="260" t="str">
        <f>IF(Bìa!AP2="","",Bìa!AP2)</f>
        <v>ThanhPD</v>
      </c>
      <c r="AQ2" s="239"/>
      <c r="AR2" s="239"/>
      <c r="AS2" s="240"/>
      <c r="AT2" s="261">
        <f>IF(Bìa!AT2="","",Bìa!AT2)</f>
        <v>44930</v>
      </c>
      <c r="AU2" s="262"/>
      <c r="AV2" s="262"/>
      <c r="AW2" s="262"/>
      <c r="AX2" s="263"/>
      <c r="AY2" s="260" t="str">
        <f>IF(Bìa!AY2="","",Bìa!AY2)</f>
        <v>ThanhPD</v>
      </c>
      <c r="AZ2" s="239"/>
      <c r="BA2" s="239"/>
      <c r="BB2" s="240"/>
      <c r="BC2" s="261">
        <f>IF(Bìa!BC2="","",Bìa!BC2)</f>
        <v>44930</v>
      </c>
      <c r="BD2" s="262"/>
      <c r="BE2" s="262"/>
      <c r="BF2" s="262"/>
      <c r="BG2" s="263"/>
      <c r="BH2" s="260">
        <f>IF(Bìa!BH2="","",Bìa!BH2)</f>
        <v>0.1</v>
      </c>
      <c r="BI2" s="239"/>
      <c r="BJ2" s="239"/>
      <c r="BK2" s="240"/>
    </row>
    <row r="3" spans="1:92" ht="15" customHeight="1" x14ac:dyDescent="0.25">
      <c r="A3" s="241"/>
      <c r="B3" s="242"/>
      <c r="C3" s="242"/>
      <c r="D3" s="242"/>
      <c r="E3" s="242"/>
      <c r="F3" s="242"/>
      <c r="G3" s="242"/>
      <c r="H3" s="242"/>
      <c r="I3" s="242"/>
      <c r="J3" s="243"/>
      <c r="K3" s="241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3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41"/>
      <c r="AQ3" s="242"/>
      <c r="AR3" s="242"/>
      <c r="AS3" s="243"/>
      <c r="AT3" s="264"/>
      <c r="AU3" s="265"/>
      <c r="AV3" s="265"/>
      <c r="AW3" s="265"/>
      <c r="AX3" s="266"/>
      <c r="AY3" s="241"/>
      <c r="AZ3" s="242"/>
      <c r="BA3" s="242"/>
      <c r="BB3" s="243"/>
      <c r="BC3" s="264"/>
      <c r="BD3" s="265"/>
      <c r="BE3" s="265"/>
      <c r="BF3" s="265"/>
      <c r="BG3" s="266"/>
      <c r="BH3" s="241"/>
      <c r="BI3" s="242"/>
      <c r="BJ3" s="242"/>
      <c r="BK3" s="243"/>
    </row>
    <row r="4" spans="1:92" ht="24.95" customHeight="1" x14ac:dyDescent="0.25">
      <c r="A4" s="244" t="s">
        <v>17</v>
      </c>
      <c r="B4" s="245"/>
      <c r="C4" s="245"/>
      <c r="D4" s="245"/>
      <c r="E4" s="245"/>
      <c r="F4" s="245"/>
      <c r="G4" s="246"/>
      <c r="H4" s="256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8"/>
      <c r="U4" s="244" t="s">
        <v>22</v>
      </c>
      <c r="V4" s="245"/>
      <c r="W4" s="245"/>
      <c r="X4" s="245"/>
      <c r="Y4" s="246"/>
      <c r="Z4" s="256" t="str">
        <f>IF(Bìa!Z4="","",Bìa!Z4)</f>
        <v>Delete employee</v>
      </c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7"/>
      <c r="AM4" s="257"/>
      <c r="AN4" s="257"/>
      <c r="AO4" s="258"/>
      <c r="AP4" s="256" t="s">
        <v>15</v>
      </c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8"/>
    </row>
    <row r="5" spans="1:92" ht="5.0999999999999996" customHeight="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92" s="4" customFormat="1" ht="15" customHeight="1" x14ac:dyDescent="0.25">
      <c r="A6" s="53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4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25">
      <c r="A7" s="55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51"/>
      <c r="AQ7" s="51"/>
      <c r="AR7" s="56"/>
      <c r="AS7" s="51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92" ht="15" customHeight="1" x14ac:dyDescent="0.25">
      <c r="A8" s="23"/>
      <c r="B8" s="57" t="s">
        <v>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51"/>
      <c r="AQ8" s="51"/>
      <c r="AR8" s="51"/>
      <c r="AS8" s="51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92" ht="15" customHeight="1" x14ac:dyDescent="0.25">
      <c r="A9" s="23"/>
      <c r="B9" s="57"/>
      <c r="C9" s="52" t="s">
        <v>98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51"/>
      <c r="AQ9" s="51"/>
      <c r="AR9" s="51"/>
      <c r="AS9" s="51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92" ht="15" customHeight="1" x14ac:dyDescent="0.25">
      <c r="A10" s="23"/>
      <c r="B10" s="24"/>
      <c r="C10" s="14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92" ht="15" customHeight="1" x14ac:dyDescent="0.25">
      <c r="A11" s="23"/>
      <c r="B11" s="66" t="s">
        <v>32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92" ht="15" customHeight="1" x14ac:dyDescent="0.25">
      <c r="A12" s="23"/>
      <c r="B12" s="24"/>
      <c r="C12" s="57" t="s">
        <v>8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92" ht="15" customHeight="1" x14ac:dyDescent="0.25">
      <c r="A13" s="23"/>
      <c r="B13" s="24"/>
      <c r="C13" s="40" t="s">
        <v>27</v>
      </c>
      <c r="D13" s="41"/>
      <c r="E13" s="77" t="s">
        <v>37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0" t="s">
        <v>38</v>
      </c>
      <c r="X13" s="44"/>
      <c r="Y13" s="44"/>
      <c r="Z13" s="45"/>
      <c r="AA13" s="45"/>
      <c r="AB13" s="45"/>
      <c r="AC13" s="45"/>
      <c r="AD13" s="45"/>
      <c r="AE13" s="44"/>
      <c r="AF13" s="44"/>
      <c r="AG13" s="44"/>
      <c r="AH13" s="41"/>
      <c r="AI13" s="40" t="s">
        <v>9</v>
      </c>
      <c r="AJ13" s="44"/>
      <c r="AK13" s="44"/>
      <c r="AL13" s="44"/>
      <c r="AM13" s="45"/>
      <c r="AN13" s="48"/>
      <c r="AO13" s="48"/>
      <c r="AP13" s="49"/>
      <c r="AQ13" s="40" t="s">
        <v>28</v>
      </c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9"/>
      <c r="BJ13" s="24"/>
      <c r="BK13" s="25"/>
    </row>
    <row r="14" spans="1:92" ht="15" customHeight="1" x14ac:dyDescent="0.25">
      <c r="A14" s="23"/>
      <c r="B14" s="24"/>
      <c r="C14" s="42">
        <v>1</v>
      </c>
      <c r="D14" s="43"/>
      <c r="E14" s="83" t="s">
        <v>99</v>
      </c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3" t="str">
        <f>Z4</f>
        <v>Delete employee</v>
      </c>
      <c r="X14" s="84"/>
      <c r="Y14" s="84"/>
      <c r="Z14" s="46"/>
      <c r="AA14" s="46"/>
      <c r="AB14" s="46"/>
      <c r="AC14" s="46"/>
      <c r="AD14" s="46"/>
      <c r="AE14" s="47"/>
      <c r="AF14" s="47"/>
      <c r="AG14" s="47"/>
      <c r="AH14" s="43"/>
      <c r="AI14" s="42" t="s">
        <v>91</v>
      </c>
      <c r="AJ14" s="47"/>
      <c r="AK14" s="47"/>
      <c r="AL14" s="47"/>
      <c r="AM14" s="46"/>
      <c r="AN14" s="47"/>
      <c r="AO14" s="47"/>
      <c r="AP14" s="43"/>
      <c r="AQ14" s="50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3"/>
      <c r="BJ14" s="24"/>
      <c r="BK14" s="25"/>
    </row>
    <row r="15" spans="1:92" ht="15" customHeight="1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92" ht="15" customHeight="1" x14ac:dyDescent="0.25">
      <c r="A16" s="23"/>
      <c r="B16" s="24"/>
      <c r="C16" s="57" t="s">
        <v>10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 x14ac:dyDescent="0.25">
      <c r="A17" s="23"/>
      <c r="B17" s="24"/>
      <c r="C17" s="40" t="s">
        <v>27</v>
      </c>
      <c r="D17" s="41"/>
      <c r="E17" s="40" t="s">
        <v>11</v>
      </c>
      <c r="F17" s="44"/>
      <c r="G17" s="44"/>
      <c r="H17" s="44"/>
      <c r="I17" s="64"/>
      <c r="J17" s="64"/>
      <c r="K17" s="41"/>
      <c r="L17" s="40" t="s">
        <v>12</v>
      </c>
      <c r="M17" s="44"/>
      <c r="N17" s="44"/>
      <c r="O17" s="44"/>
      <c r="P17" s="64"/>
      <c r="Q17" s="64"/>
      <c r="R17" s="41"/>
      <c r="S17" s="40" t="s">
        <v>29</v>
      </c>
      <c r="T17" s="44"/>
      <c r="U17" s="44"/>
      <c r="V17" s="44"/>
      <c r="W17" s="64"/>
      <c r="X17" s="64"/>
      <c r="Y17" s="41"/>
      <c r="Z17" s="40" t="s">
        <v>13</v>
      </c>
      <c r="AA17" s="44"/>
      <c r="AB17" s="44"/>
      <c r="AC17" s="44"/>
      <c r="AD17" s="64"/>
      <c r="AE17" s="64"/>
      <c r="AF17" s="41"/>
      <c r="AG17" s="40" t="s">
        <v>30</v>
      </c>
      <c r="AH17" s="44"/>
      <c r="AI17" s="44"/>
      <c r="AJ17" s="44"/>
      <c r="AK17" s="64"/>
      <c r="AL17" s="64"/>
      <c r="AM17" s="44"/>
      <c r="AN17" s="44"/>
      <c r="AO17" s="44"/>
      <c r="AP17" s="65"/>
      <c r="AQ17" s="40" t="s">
        <v>28</v>
      </c>
      <c r="AR17" s="44"/>
      <c r="AS17" s="44"/>
      <c r="AT17" s="44"/>
      <c r="AU17" s="44"/>
      <c r="AV17" s="44"/>
      <c r="AW17" s="44"/>
      <c r="AX17" s="44"/>
      <c r="AY17" s="44"/>
      <c r="AZ17" s="44"/>
      <c r="BA17" s="48"/>
      <c r="BB17" s="48"/>
      <c r="BC17" s="48"/>
      <c r="BD17" s="48"/>
      <c r="BE17" s="48"/>
      <c r="BF17" s="48"/>
      <c r="BG17" s="48"/>
      <c r="BH17" s="48"/>
      <c r="BI17" s="49"/>
      <c r="BJ17" s="24"/>
      <c r="BK17" s="25"/>
    </row>
    <row r="18" spans="1:63" ht="15" customHeight="1" x14ac:dyDescent="0.25">
      <c r="A18" s="23"/>
      <c r="B18" s="24"/>
      <c r="C18" s="171">
        <v>1</v>
      </c>
      <c r="D18" s="172"/>
      <c r="E18" s="171" t="s">
        <v>100</v>
      </c>
      <c r="F18" s="78"/>
      <c r="G18" s="78"/>
      <c r="H18" s="78"/>
      <c r="I18" s="93"/>
      <c r="J18" s="93"/>
      <c r="K18" s="172"/>
      <c r="L18" s="171" t="s">
        <v>89</v>
      </c>
      <c r="M18" s="93"/>
      <c r="N18" s="78"/>
      <c r="O18" s="93"/>
      <c r="P18" s="59"/>
      <c r="Q18" s="59"/>
      <c r="R18" s="79"/>
      <c r="S18" s="171" t="s">
        <v>36</v>
      </c>
      <c r="T18" s="59"/>
      <c r="U18" s="59"/>
      <c r="V18" s="59"/>
      <c r="W18" s="59"/>
      <c r="X18" s="59"/>
      <c r="Y18" s="79"/>
      <c r="Z18" s="98" t="s">
        <v>35</v>
      </c>
      <c r="AA18" s="59"/>
      <c r="AB18" s="78"/>
      <c r="AC18" s="78"/>
      <c r="AD18" s="78"/>
      <c r="AE18" s="78"/>
      <c r="AF18" s="172"/>
      <c r="AG18" s="171" t="s">
        <v>101</v>
      </c>
      <c r="AH18" s="78"/>
      <c r="AI18" s="78"/>
      <c r="AJ18" s="78"/>
      <c r="AK18" s="78"/>
      <c r="AL18" s="78"/>
      <c r="AM18" s="78"/>
      <c r="AN18" s="78"/>
      <c r="AO18" s="78"/>
      <c r="AP18" s="79"/>
      <c r="AQ18" s="470"/>
      <c r="AR18" s="471"/>
      <c r="AS18" s="471"/>
      <c r="AT18" s="471"/>
      <c r="AU18" s="471"/>
      <c r="AV18" s="471"/>
      <c r="AW18" s="471"/>
      <c r="AX18" s="471"/>
      <c r="AY18" s="471"/>
      <c r="AZ18" s="471"/>
      <c r="BA18" s="471"/>
      <c r="BB18" s="471"/>
      <c r="BC18" s="471"/>
      <c r="BD18" s="471"/>
      <c r="BE18" s="471"/>
      <c r="BF18" s="471"/>
      <c r="BG18" s="471"/>
      <c r="BH18" s="471"/>
      <c r="BI18" s="472"/>
      <c r="BJ18" s="24"/>
      <c r="BK18" s="25"/>
    </row>
    <row r="19" spans="1:63" ht="15" customHeight="1" x14ac:dyDescent="0.25">
      <c r="A19" s="23"/>
      <c r="B19" s="24"/>
      <c r="C19" s="173"/>
      <c r="D19" s="174"/>
      <c r="E19" s="173"/>
      <c r="F19" s="81"/>
      <c r="G19" s="81"/>
      <c r="H19" s="81"/>
      <c r="I19" s="95"/>
      <c r="J19" s="95"/>
      <c r="K19" s="174"/>
      <c r="L19" s="173"/>
      <c r="M19" s="95"/>
      <c r="N19" s="81"/>
      <c r="O19" s="95"/>
      <c r="P19" s="60"/>
      <c r="Q19" s="60"/>
      <c r="R19" s="82"/>
      <c r="S19" s="173"/>
      <c r="T19" s="60"/>
      <c r="U19" s="60"/>
      <c r="V19" s="60"/>
      <c r="W19" s="60"/>
      <c r="X19" s="60"/>
      <c r="Y19" s="82"/>
      <c r="Z19" s="99"/>
      <c r="AA19" s="60"/>
      <c r="AB19" s="81"/>
      <c r="AC19" s="81"/>
      <c r="AD19" s="81"/>
      <c r="AE19" s="81"/>
      <c r="AF19" s="174"/>
      <c r="AG19" s="173"/>
      <c r="AH19" s="81"/>
      <c r="AI19" s="81"/>
      <c r="AJ19" s="81"/>
      <c r="AK19" s="81"/>
      <c r="AL19" s="81"/>
      <c r="AM19" s="81"/>
      <c r="AN19" s="81"/>
      <c r="AO19" s="81"/>
      <c r="AP19" s="82"/>
      <c r="AQ19" s="473"/>
      <c r="AR19" s="474"/>
      <c r="AS19" s="474"/>
      <c r="AT19" s="474"/>
      <c r="AU19" s="474"/>
      <c r="AV19" s="474"/>
      <c r="AW19" s="474"/>
      <c r="AX19" s="474"/>
      <c r="AY19" s="474"/>
      <c r="AZ19" s="474"/>
      <c r="BA19" s="474"/>
      <c r="BB19" s="474"/>
      <c r="BC19" s="474"/>
      <c r="BD19" s="474"/>
      <c r="BE19" s="474"/>
      <c r="BF19" s="474"/>
      <c r="BG19" s="474"/>
      <c r="BH19" s="474"/>
      <c r="BI19" s="475"/>
      <c r="BJ19" s="24"/>
      <c r="BK19" s="25"/>
    </row>
    <row r="20" spans="1:63" ht="15.75" x14ac:dyDescent="0.25">
      <c r="A20" s="58"/>
      <c r="B20" s="5"/>
      <c r="C20" s="100" t="s">
        <v>46</v>
      </c>
      <c r="D20" s="101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5"/>
      <c r="BK20" s="5"/>
    </row>
    <row r="21" spans="1:63" ht="15.75" customHeight="1" x14ac:dyDescent="0.25">
      <c r="A21" s="58"/>
      <c r="B21" s="5"/>
      <c r="C21" s="39"/>
      <c r="D21" s="102" t="s">
        <v>102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4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5"/>
      <c r="BK21" s="5"/>
    </row>
    <row r="22" spans="1:63" ht="15.75" customHeight="1" x14ac:dyDescent="0.25">
      <c r="A22" s="58"/>
      <c r="B22" s="5"/>
      <c r="C22" s="39"/>
      <c r="D22" s="103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6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5"/>
      <c r="BK22" s="5"/>
    </row>
    <row r="23" spans="1:63" ht="13.5" x14ac:dyDescent="0.25">
      <c r="A23" s="58"/>
      <c r="B23" s="5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5"/>
      <c r="BK23" s="5"/>
    </row>
    <row r="24" spans="1:63" ht="15" customHeight="1" x14ac:dyDescent="0.25">
      <c r="A24" s="23"/>
      <c r="B24" s="24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24"/>
      <c r="BK24" s="25"/>
    </row>
    <row r="25" spans="1:63" ht="15" customHeight="1" x14ac:dyDescent="0.25">
      <c r="A25" s="23"/>
      <c r="B25" s="57" t="s">
        <v>14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24"/>
      <c r="BK25" s="25"/>
    </row>
    <row r="26" spans="1:63" ht="15" customHeight="1" x14ac:dyDescent="0.25">
      <c r="A26" s="23"/>
      <c r="B26" s="57"/>
      <c r="C26" s="51" t="s">
        <v>77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24"/>
      <c r="BK26" s="25"/>
    </row>
    <row r="27" spans="1:63" ht="15" customHeight="1" x14ac:dyDescent="0.25">
      <c r="A27" s="23"/>
      <c r="B27" s="57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24"/>
      <c r="BK27" s="25"/>
    </row>
    <row r="28" spans="1:63" ht="15" customHeight="1" x14ac:dyDescent="0.25">
      <c r="A28" s="23"/>
      <c r="B28" s="24"/>
      <c r="C28" s="104" t="s">
        <v>47</v>
      </c>
      <c r="D28" s="105"/>
      <c r="E28" s="104" t="s">
        <v>33</v>
      </c>
      <c r="F28" s="106"/>
      <c r="G28" s="106"/>
      <c r="H28" s="106"/>
      <c r="I28" s="107"/>
      <c r="J28" s="107"/>
      <c r="K28" s="106"/>
      <c r="L28" s="115"/>
      <c r="M28" s="115"/>
      <c r="N28" s="104" t="s">
        <v>48</v>
      </c>
      <c r="O28" s="106"/>
      <c r="P28" s="107"/>
      <c r="Q28" s="107"/>
      <c r="R28" s="105"/>
      <c r="S28" s="104" t="s">
        <v>49</v>
      </c>
      <c r="T28" s="106"/>
      <c r="U28" s="106"/>
      <c r="V28" s="106"/>
      <c r="W28" s="107"/>
      <c r="X28" s="107"/>
      <c r="Y28" s="106"/>
      <c r="Z28" s="106"/>
      <c r="AA28" s="106"/>
      <c r="AB28" s="108"/>
      <c r="AC28" s="104" t="s">
        <v>50</v>
      </c>
      <c r="AD28" s="106"/>
      <c r="AE28" s="106"/>
      <c r="AF28" s="106"/>
      <c r="AG28" s="106"/>
      <c r="AH28" s="106"/>
      <c r="AI28" s="106"/>
      <c r="AJ28" s="106"/>
      <c r="AK28" s="106"/>
      <c r="AL28" s="106"/>
      <c r="AM28" s="109"/>
      <c r="AN28" s="109"/>
      <c r="AO28" s="109"/>
      <c r="AP28" s="109"/>
      <c r="AQ28" s="109"/>
      <c r="AR28" s="109"/>
      <c r="AS28" s="109"/>
      <c r="AT28" s="109"/>
      <c r="AU28" s="110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24"/>
      <c r="BK28" s="25"/>
    </row>
    <row r="29" spans="1:63" s="2" customFormat="1" ht="15" customHeight="1" x14ac:dyDescent="0.25">
      <c r="A29" s="212"/>
      <c r="B29" s="206"/>
      <c r="C29" s="217">
        <v>1</v>
      </c>
      <c r="D29" s="218"/>
      <c r="E29" s="219" t="s">
        <v>93</v>
      </c>
      <c r="F29" s="219"/>
      <c r="G29" s="219"/>
      <c r="H29" s="219"/>
      <c r="I29" s="213"/>
      <c r="J29" s="213"/>
      <c r="K29" s="219"/>
      <c r="L29" s="214"/>
      <c r="M29" s="214"/>
      <c r="N29" s="217" t="s">
        <v>34</v>
      </c>
      <c r="O29" s="219"/>
      <c r="P29" s="213"/>
      <c r="Q29" s="213"/>
      <c r="R29" s="218"/>
      <c r="S29" s="217"/>
      <c r="T29" s="219"/>
      <c r="U29" s="219"/>
      <c r="V29" s="219"/>
      <c r="W29" s="213"/>
      <c r="X29" s="213"/>
      <c r="Y29" s="219"/>
      <c r="Z29" s="219"/>
      <c r="AA29" s="219"/>
      <c r="AB29" s="215"/>
      <c r="AC29" s="217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8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206"/>
      <c r="BK29" s="216"/>
    </row>
    <row r="30" spans="1:63" ht="15" customHeight="1" x14ac:dyDescent="0.25">
      <c r="A30" s="23"/>
      <c r="B30" s="24"/>
      <c r="C30" s="141">
        <f t="shared" ref="C30:C31" si="0">ROW()-ROW($C$28)</f>
        <v>2</v>
      </c>
      <c r="D30" s="111"/>
      <c r="E30" s="176" t="s">
        <v>100</v>
      </c>
      <c r="F30" s="176"/>
      <c r="G30" s="175"/>
      <c r="H30" s="143"/>
      <c r="I30" s="175"/>
      <c r="J30" s="175"/>
      <c r="K30" s="143"/>
      <c r="L30" s="175"/>
      <c r="M30" s="175"/>
      <c r="N30" s="141" t="s">
        <v>34</v>
      </c>
      <c r="O30" s="142"/>
      <c r="P30" s="142"/>
      <c r="Q30" s="142"/>
      <c r="R30" s="127"/>
      <c r="S30" s="124"/>
      <c r="T30" s="126"/>
      <c r="U30" s="126"/>
      <c r="V30" s="126"/>
      <c r="W30" s="126"/>
      <c r="X30" s="126"/>
      <c r="Y30" s="126"/>
      <c r="Z30" s="126"/>
      <c r="AA30" s="126"/>
      <c r="AB30" s="127"/>
      <c r="AC30" s="124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5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24"/>
      <c r="BK30" s="25"/>
    </row>
    <row r="31" spans="1:63" s="92" customFormat="1" ht="15" customHeight="1" x14ac:dyDescent="0.25">
      <c r="A31" s="89"/>
      <c r="B31" s="90"/>
      <c r="C31" s="141">
        <f t="shared" si="0"/>
        <v>3</v>
      </c>
      <c r="D31" s="111"/>
      <c r="E31" s="176" t="s">
        <v>92</v>
      </c>
      <c r="F31" s="176"/>
      <c r="G31" s="175"/>
      <c r="H31" s="143"/>
      <c r="I31" s="143"/>
      <c r="J31" s="143"/>
      <c r="K31" s="143"/>
      <c r="L31" s="175"/>
      <c r="M31" s="175"/>
      <c r="N31" s="141" t="s">
        <v>125</v>
      </c>
      <c r="O31" s="143"/>
      <c r="P31" s="142"/>
      <c r="Q31" s="142"/>
      <c r="R31" s="127"/>
      <c r="S31" s="124"/>
      <c r="T31" s="126"/>
      <c r="U31" s="126"/>
      <c r="V31" s="126"/>
      <c r="W31" s="126"/>
      <c r="X31" s="126"/>
      <c r="Y31" s="126"/>
      <c r="Z31" s="126"/>
      <c r="AA31" s="126"/>
      <c r="AB31" s="127"/>
      <c r="AC31" s="124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5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90"/>
      <c r="BK31" s="91"/>
    </row>
    <row r="32" spans="1:63" ht="15" customHeight="1" x14ac:dyDescent="0.25">
      <c r="A32" s="23"/>
      <c r="B32" s="24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139"/>
      <c r="O32" s="139"/>
      <c r="P32" s="139"/>
      <c r="Q32" s="139"/>
      <c r="R32" s="139"/>
      <c r="S32" s="51"/>
      <c r="T32" s="51"/>
      <c r="U32" s="51"/>
      <c r="V32" s="51"/>
      <c r="W32" s="51"/>
      <c r="X32" s="51"/>
      <c r="Y32" s="51"/>
      <c r="Z32" s="51"/>
      <c r="AA32" s="51"/>
      <c r="AB32" s="39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24"/>
      <c r="BK32" s="25"/>
    </row>
    <row r="33" spans="1:63" ht="15" customHeight="1" x14ac:dyDescent="0.25">
      <c r="A33" s="23"/>
      <c r="B33" s="24"/>
      <c r="C33" s="100" t="s">
        <v>46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24"/>
      <c r="BK33" s="25"/>
    </row>
    <row r="34" spans="1:63" ht="15.75" x14ac:dyDescent="0.25">
      <c r="A34" s="58"/>
      <c r="B34" s="5"/>
      <c r="C34" s="39"/>
      <c r="D34" s="112" t="s">
        <v>44</v>
      </c>
      <c r="E34" s="59"/>
      <c r="F34" s="59"/>
      <c r="G34" s="59"/>
      <c r="H34" s="129"/>
      <c r="I34" s="129"/>
      <c r="J34" s="12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78"/>
      <c r="AP34" s="59"/>
      <c r="AQ34" s="59"/>
      <c r="AR34" s="59"/>
      <c r="AS34" s="59"/>
      <c r="AT34" s="59"/>
      <c r="AU34" s="7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5"/>
      <c r="BK34" s="5"/>
    </row>
    <row r="35" spans="1:63" ht="15.75" x14ac:dyDescent="0.25">
      <c r="A35" s="58"/>
      <c r="B35" s="5"/>
      <c r="C35" s="39"/>
      <c r="D35" s="113" t="s">
        <v>114</v>
      </c>
      <c r="E35" s="39"/>
      <c r="F35" s="39"/>
      <c r="G35" s="39"/>
      <c r="H35" s="130"/>
      <c r="I35" s="130"/>
      <c r="J35" s="130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51"/>
      <c r="AP35" s="39"/>
      <c r="AQ35" s="39"/>
      <c r="AR35" s="39"/>
      <c r="AS35" s="39"/>
      <c r="AT35" s="39"/>
      <c r="AU35" s="80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5"/>
      <c r="BK35" s="5"/>
    </row>
    <row r="36" spans="1:63" ht="15.75" x14ac:dyDescent="0.25">
      <c r="A36" s="58"/>
      <c r="B36" s="5"/>
      <c r="C36" s="39"/>
      <c r="D36" s="113" t="s">
        <v>103</v>
      </c>
      <c r="E36" s="39"/>
      <c r="F36" s="39"/>
      <c r="G36" s="39"/>
      <c r="H36" s="130"/>
      <c r="I36" s="130"/>
      <c r="J36" s="130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51"/>
      <c r="AP36" s="39"/>
      <c r="AQ36" s="39"/>
      <c r="AR36" s="39"/>
      <c r="AS36" s="39"/>
      <c r="AT36" s="39"/>
      <c r="AU36" s="80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5"/>
      <c r="BK36" s="5"/>
    </row>
    <row r="37" spans="1:63" ht="19.5" customHeight="1" x14ac:dyDescent="0.25">
      <c r="C37" s="39"/>
      <c r="D37" s="113" t="s">
        <v>121</v>
      </c>
      <c r="E37" s="39"/>
      <c r="F37" s="39"/>
      <c r="G37" s="39"/>
      <c r="H37" s="130"/>
      <c r="I37" s="130"/>
      <c r="J37" s="130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51"/>
      <c r="AP37" s="39"/>
      <c r="AQ37" s="39"/>
      <c r="AR37" s="39"/>
      <c r="AS37" s="39"/>
      <c r="AT37" s="39"/>
      <c r="AU37" s="80"/>
      <c r="AV37" s="39"/>
    </row>
    <row r="38" spans="1:63" ht="19.5" customHeight="1" x14ac:dyDescent="0.25">
      <c r="C38" s="39"/>
      <c r="D38" s="113"/>
      <c r="E38" s="39" t="s">
        <v>124</v>
      </c>
      <c r="F38" s="39"/>
      <c r="G38" s="39"/>
      <c r="H38" s="130"/>
      <c r="I38" s="130"/>
      <c r="J38" s="130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51"/>
      <c r="AP38" s="39"/>
      <c r="AQ38" s="39"/>
      <c r="AR38" s="39"/>
      <c r="AS38" s="39"/>
      <c r="AT38" s="39"/>
      <c r="AU38" s="80"/>
      <c r="AV38" s="39"/>
    </row>
    <row r="39" spans="1:63" ht="19.5" customHeight="1" x14ac:dyDescent="0.25">
      <c r="C39" s="39"/>
      <c r="D39" s="113"/>
      <c r="E39" s="39" t="s">
        <v>122</v>
      </c>
      <c r="F39" s="39"/>
      <c r="G39" s="39"/>
      <c r="H39" s="130"/>
      <c r="I39" s="130"/>
      <c r="J39" s="130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51"/>
      <c r="AP39" s="39"/>
      <c r="AQ39" s="39"/>
      <c r="AR39" s="39"/>
      <c r="AS39" s="39"/>
      <c r="AT39" s="39"/>
      <c r="AU39" s="80"/>
      <c r="AV39" s="39"/>
    </row>
    <row r="40" spans="1:63" ht="19.5" customHeight="1" x14ac:dyDescent="0.25">
      <c r="C40" s="39"/>
      <c r="D40" s="113"/>
      <c r="E40" s="39" t="s">
        <v>123</v>
      </c>
      <c r="F40" s="39"/>
      <c r="G40" s="39"/>
      <c r="H40" s="130"/>
      <c r="I40" s="130"/>
      <c r="J40" s="130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51"/>
      <c r="AP40" s="39"/>
      <c r="AQ40" s="39"/>
      <c r="AR40" s="39"/>
      <c r="AS40" s="39"/>
      <c r="AT40" s="39"/>
      <c r="AU40" s="80"/>
      <c r="AV40" s="39"/>
    </row>
    <row r="41" spans="1:63" ht="15.75" x14ac:dyDescent="0.25">
      <c r="A41" s="58"/>
      <c r="B41" s="5"/>
      <c r="C41" s="39"/>
      <c r="D41" s="113" t="s">
        <v>45</v>
      </c>
      <c r="E41" s="39"/>
      <c r="F41" s="39"/>
      <c r="G41" s="39"/>
      <c r="H41" s="130"/>
      <c r="I41" s="130"/>
      <c r="J41" s="130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51"/>
      <c r="AP41" s="39"/>
      <c r="AQ41" s="39"/>
      <c r="AR41" s="39"/>
      <c r="AS41" s="39"/>
      <c r="AT41" s="39"/>
      <c r="AU41" s="80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5"/>
      <c r="BK41" s="5"/>
    </row>
    <row r="42" spans="1:63" ht="15.75" x14ac:dyDescent="0.25">
      <c r="A42" s="58"/>
      <c r="B42" s="5"/>
      <c r="C42" s="39"/>
      <c r="D42" s="114" t="s">
        <v>43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81"/>
      <c r="AP42" s="60"/>
      <c r="AQ42" s="60"/>
      <c r="AR42" s="60"/>
      <c r="AS42" s="60"/>
      <c r="AT42" s="60"/>
      <c r="AU42" s="82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5"/>
      <c r="BK42" s="5"/>
    </row>
    <row r="43" spans="1:63" ht="15.75" x14ac:dyDescent="0.25">
      <c r="A43" s="58"/>
      <c r="B43" s="5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51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5"/>
      <c r="BK43" s="5"/>
    </row>
    <row r="44" spans="1:63" s="7" customFormat="1" ht="12" x14ac:dyDescent="0.25">
      <c r="A44" s="61"/>
      <c r="B44" s="62"/>
      <c r="C44" s="62"/>
      <c r="D44" s="62"/>
      <c r="E44" s="63"/>
      <c r="F44" s="63"/>
      <c r="G44" s="63"/>
      <c r="H44" s="63"/>
      <c r="I44" s="63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</row>
    <row r="45" spans="1:63" s="7" customFormat="1" ht="19.5" customHeight="1" x14ac:dyDescent="0.25"/>
    <row r="46" spans="1:63" ht="19.5" customHeight="1" x14ac:dyDescent="0.25">
      <c r="C46" s="51" t="s">
        <v>76</v>
      </c>
    </row>
    <row r="48" spans="1:63" ht="19.5" customHeight="1" x14ac:dyDescent="0.25">
      <c r="C48" s="100" t="s">
        <v>46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</row>
    <row r="49" spans="3:48" ht="19.5" customHeight="1" x14ac:dyDescent="0.25">
      <c r="C49" s="39"/>
      <c r="D49" s="112" t="s">
        <v>44</v>
      </c>
      <c r="E49" s="59"/>
      <c r="F49" s="59"/>
      <c r="G49" s="59"/>
      <c r="H49" s="129"/>
      <c r="I49" s="129"/>
      <c r="J49" s="12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78"/>
      <c r="AP49" s="59"/>
      <c r="AQ49" s="59"/>
      <c r="AR49" s="59"/>
      <c r="AS49" s="59"/>
      <c r="AT49" s="59"/>
      <c r="AU49" s="79"/>
      <c r="AV49" s="39"/>
    </row>
    <row r="50" spans="3:48" ht="19.5" customHeight="1" x14ac:dyDescent="0.25">
      <c r="C50" s="39"/>
      <c r="D50" s="113" t="s">
        <v>115</v>
      </c>
      <c r="E50" s="39"/>
      <c r="F50" s="39"/>
      <c r="G50" s="39"/>
      <c r="H50" s="130"/>
      <c r="I50" s="130"/>
      <c r="J50" s="130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51"/>
      <c r="AP50" s="39"/>
      <c r="AQ50" s="39"/>
      <c r="AR50" s="39"/>
      <c r="AS50" s="39"/>
      <c r="AT50" s="39"/>
      <c r="AU50" s="80"/>
      <c r="AV50" s="39"/>
    </row>
    <row r="51" spans="3:48" ht="19.5" customHeight="1" x14ac:dyDescent="0.25">
      <c r="C51" s="39"/>
      <c r="D51" s="113" t="s">
        <v>103</v>
      </c>
      <c r="E51" s="39"/>
      <c r="F51" s="39"/>
      <c r="G51" s="39"/>
      <c r="H51" s="130"/>
      <c r="I51" s="130"/>
      <c r="J51" s="130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51"/>
      <c r="AP51" s="39"/>
      <c r="AQ51" s="39"/>
      <c r="AR51" s="39"/>
      <c r="AS51" s="39"/>
      <c r="AT51" s="39"/>
      <c r="AU51" s="80"/>
      <c r="AV51" s="39"/>
    </row>
    <row r="52" spans="3:48" ht="19.5" customHeight="1" x14ac:dyDescent="0.25">
      <c r="C52" s="39"/>
      <c r="D52" s="113" t="s">
        <v>121</v>
      </c>
      <c r="E52" s="39"/>
      <c r="F52" s="39"/>
      <c r="G52" s="39"/>
      <c r="H52" s="130"/>
      <c r="I52" s="130"/>
      <c r="J52" s="130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51"/>
      <c r="AP52" s="39"/>
      <c r="AQ52" s="39"/>
      <c r="AR52" s="39"/>
      <c r="AS52" s="39"/>
      <c r="AT52" s="39"/>
      <c r="AU52" s="80"/>
      <c r="AV52" s="39"/>
    </row>
    <row r="53" spans="3:48" ht="19.5" customHeight="1" x14ac:dyDescent="0.25">
      <c r="C53" s="39"/>
      <c r="D53" s="113"/>
      <c r="E53" s="39" t="s">
        <v>131</v>
      </c>
      <c r="F53" s="39"/>
      <c r="G53" s="39"/>
      <c r="H53" s="130"/>
      <c r="I53" s="130"/>
      <c r="J53" s="130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51"/>
      <c r="AP53" s="39"/>
      <c r="AQ53" s="39"/>
      <c r="AR53" s="39"/>
      <c r="AS53" s="39"/>
      <c r="AT53" s="39"/>
      <c r="AU53" s="80"/>
      <c r="AV53" s="39"/>
    </row>
    <row r="54" spans="3:48" ht="19.5" customHeight="1" x14ac:dyDescent="0.25">
      <c r="C54" s="39"/>
      <c r="D54" s="113"/>
      <c r="E54" s="39" t="s">
        <v>126</v>
      </c>
      <c r="F54" s="39"/>
      <c r="G54" s="39"/>
      <c r="H54" s="130"/>
      <c r="I54" s="130"/>
      <c r="J54" s="130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51"/>
      <c r="AP54" s="39"/>
      <c r="AQ54" s="39"/>
      <c r="AR54" s="39"/>
      <c r="AS54" s="39"/>
      <c r="AT54" s="39"/>
      <c r="AU54" s="80"/>
      <c r="AV54" s="39"/>
    </row>
    <row r="55" spans="3:48" ht="19.5" customHeight="1" x14ac:dyDescent="0.25">
      <c r="C55" s="39"/>
      <c r="D55" s="113"/>
      <c r="E55" s="39" t="s">
        <v>123</v>
      </c>
      <c r="F55" s="39"/>
      <c r="G55" s="39"/>
      <c r="H55" s="130"/>
      <c r="I55" s="130"/>
      <c r="J55" s="130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51"/>
      <c r="AP55" s="39"/>
      <c r="AQ55" s="39"/>
      <c r="AR55" s="39"/>
      <c r="AS55" s="39"/>
      <c r="AT55" s="39"/>
      <c r="AU55" s="80"/>
      <c r="AV55" s="39"/>
    </row>
    <row r="56" spans="3:48" ht="19.5" customHeight="1" x14ac:dyDescent="0.25">
      <c r="C56" s="39"/>
      <c r="D56" s="113" t="s">
        <v>45</v>
      </c>
      <c r="E56" s="39"/>
      <c r="F56" s="39"/>
      <c r="G56" s="39"/>
      <c r="H56" s="130"/>
      <c r="I56" s="130"/>
      <c r="J56" s="130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51"/>
      <c r="AP56" s="39"/>
      <c r="AQ56" s="39"/>
      <c r="AR56" s="39"/>
      <c r="AS56" s="39"/>
      <c r="AT56" s="39"/>
      <c r="AU56" s="80"/>
      <c r="AV56" s="39"/>
    </row>
    <row r="57" spans="3:48" ht="19.5" customHeight="1" x14ac:dyDescent="0.25">
      <c r="C57" s="39"/>
      <c r="D57" s="114" t="s">
        <v>43</v>
      </c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81"/>
      <c r="AP57" s="60"/>
      <c r="AQ57" s="60"/>
      <c r="AR57" s="60"/>
      <c r="AS57" s="60"/>
      <c r="AT57" s="60"/>
      <c r="AU57" s="82"/>
      <c r="AV57" s="39"/>
    </row>
  </sheetData>
  <mergeCells count="21">
    <mergeCell ref="AQ18:BI19"/>
    <mergeCell ref="BH1:BK1"/>
    <mergeCell ref="BC1:BG1"/>
    <mergeCell ref="AY1:BB1"/>
    <mergeCell ref="AT1:AX1"/>
    <mergeCell ref="AP1:AS1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K2:V3"/>
    <mergeCell ref="A2:J3"/>
    <mergeCell ref="W1:AO3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K46"/>
  <sheetViews>
    <sheetView showGridLines="0" view="pageBreakPreview" topLeftCell="A28" zoomScaleNormal="75" zoomScaleSheetLayoutView="100" workbookViewId="0">
      <selection sqref="A1:J1"/>
    </sheetView>
  </sheetViews>
  <sheetFormatPr defaultColWidth="3.77734375" defaultRowHeight="18" customHeight="1" x14ac:dyDescent="0.25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 x14ac:dyDescent="0.25">
      <c r="A1" s="244" t="s">
        <v>25</v>
      </c>
      <c r="B1" s="245"/>
      <c r="C1" s="245"/>
      <c r="D1" s="245"/>
      <c r="E1" s="245"/>
      <c r="F1" s="245"/>
      <c r="G1" s="245"/>
      <c r="H1" s="245"/>
      <c r="I1" s="245"/>
      <c r="J1" s="246"/>
      <c r="K1" s="244" t="s">
        <v>26</v>
      </c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6"/>
      <c r="W1" s="247" t="str">
        <f>IF(Bìa!W1="","",Bìa!W1)</f>
        <v>TKCB</v>
      </c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9"/>
      <c r="AP1" s="244" t="s">
        <v>18</v>
      </c>
      <c r="AQ1" s="245"/>
      <c r="AR1" s="245"/>
      <c r="AS1" s="246"/>
      <c r="AT1" s="244" t="s">
        <v>19</v>
      </c>
      <c r="AU1" s="245"/>
      <c r="AV1" s="245"/>
      <c r="AW1" s="245"/>
      <c r="AX1" s="246"/>
      <c r="AY1" s="244" t="s">
        <v>20</v>
      </c>
      <c r="AZ1" s="245"/>
      <c r="BA1" s="245"/>
      <c r="BB1" s="246"/>
      <c r="BC1" s="244" t="s">
        <v>21</v>
      </c>
      <c r="BD1" s="245"/>
      <c r="BE1" s="245"/>
      <c r="BF1" s="245"/>
      <c r="BG1" s="246"/>
      <c r="BH1" s="244" t="s">
        <v>2</v>
      </c>
      <c r="BI1" s="245"/>
      <c r="BJ1" s="245"/>
      <c r="BK1" s="246"/>
    </row>
    <row r="2" spans="1:63" ht="15" customHeight="1" x14ac:dyDescent="0.25">
      <c r="A2" s="260" t="str">
        <f>IF(Bìa!A2="","",Bìa!A2)</f>
        <v>Manager User</v>
      </c>
      <c r="B2" s="239"/>
      <c r="C2" s="239"/>
      <c r="D2" s="239"/>
      <c r="E2" s="239"/>
      <c r="F2" s="239"/>
      <c r="G2" s="239"/>
      <c r="H2" s="239"/>
      <c r="I2" s="239"/>
      <c r="J2" s="240"/>
      <c r="K2" s="260" t="str">
        <f>IF(Bìa!K2="","",Bìa!K2)</f>
        <v>Thiết kế API</v>
      </c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40"/>
      <c r="W2" s="250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2"/>
      <c r="AP2" s="260" t="str">
        <f>IF(Bìa!AP2="","",Bìa!AP2)</f>
        <v>ThanhPD</v>
      </c>
      <c r="AQ2" s="239"/>
      <c r="AR2" s="239"/>
      <c r="AS2" s="240"/>
      <c r="AT2" s="261">
        <f>IF(Bìa!AT2="","",Bìa!AT2)</f>
        <v>44930</v>
      </c>
      <c r="AU2" s="262"/>
      <c r="AV2" s="262"/>
      <c r="AW2" s="262"/>
      <c r="AX2" s="263"/>
      <c r="AY2" s="260" t="str">
        <f>IF(Bìa!AY2="","",Bìa!AY2)</f>
        <v>ThanhPD</v>
      </c>
      <c r="AZ2" s="239"/>
      <c r="BA2" s="239"/>
      <c r="BB2" s="240"/>
      <c r="BC2" s="261">
        <f>IF(Bìa!BC2="","",Bìa!BC2)</f>
        <v>44930</v>
      </c>
      <c r="BD2" s="262"/>
      <c r="BE2" s="262"/>
      <c r="BF2" s="262"/>
      <c r="BG2" s="263"/>
      <c r="BH2" s="260">
        <f>IF(Bìa!BH2="","",Bìa!BH2)</f>
        <v>0.1</v>
      </c>
      <c r="BI2" s="239"/>
      <c r="BJ2" s="239"/>
      <c r="BK2" s="240"/>
    </row>
    <row r="3" spans="1:63" ht="15" customHeight="1" x14ac:dyDescent="0.25">
      <c r="A3" s="241"/>
      <c r="B3" s="242"/>
      <c r="C3" s="242"/>
      <c r="D3" s="242"/>
      <c r="E3" s="242"/>
      <c r="F3" s="242"/>
      <c r="G3" s="242"/>
      <c r="H3" s="242"/>
      <c r="I3" s="242"/>
      <c r="J3" s="243"/>
      <c r="K3" s="241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3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41"/>
      <c r="AQ3" s="242"/>
      <c r="AR3" s="242"/>
      <c r="AS3" s="243"/>
      <c r="AT3" s="264"/>
      <c r="AU3" s="265"/>
      <c r="AV3" s="265"/>
      <c r="AW3" s="265"/>
      <c r="AX3" s="266"/>
      <c r="AY3" s="241"/>
      <c r="AZ3" s="242"/>
      <c r="BA3" s="242"/>
      <c r="BB3" s="243"/>
      <c r="BC3" s="264"/>
      <c r="BD3" s="265"/>
      <c r="BE3" s="265"/>
      <c r="BF3" s="265"/>
      <c r="BG3" s="266"/>
      <c r="BH3" s="241"/>
      <c r="BI3" s="242"/>
      <c r="BJ3" s="242"/>
      <c r="BK3" s="243"/>
    </row>
    <row r="4" spans="1:63" ht="24.95" customHeight="1" x14ac:dyDescent="0.25">
      <c r="A4" s="244" t="s">
        <v>17</v>
      </c>
      <c r="B4" s="245"/>
      <c r="C4" s="245"/>
      <c r="D4" s="245"/>
      <c r="E4" s="245"/>
      <c r="F4" s="245"/>
      <c r="G4" s="246"/>
      <c r="H4" s="256" t="str">
        <f>IF(Bìa!H4="","",Bìa!H4)</f>
        <v/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8"/>
      <c r="U4" s="244" t="s">
        <v>22</v>
      </c>
      <c r="V4" s="245"/>
      <c r="W4" s="245"/>
      <c r="X4" s="245"/>
      <c r="Y4" s="246"/>
      <c r="Z4" s="256" t="str">
        <f>IF(Bìa!Z4="","",Bìa!Z4)</f>
        <v>Delete employee</v>
      </c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7"/>
      <c r="AM4" s="257"/>
      <c r="AN4" s="257"/>
      <c r="AO4" s="258"/>
      <c r="AP4" s="256" t="s">
        <v>16</v>
      </c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8"/>
    </row>
    <row r="5" spans="1:63" ht="5.0999999999999996" customHeight="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s="2" customFormat="1" ht="15" customHeight="1" x14ac:dyDescent="0.25">
      <c r="A6" s="74"/>
      <c r="B6" s="34"/>
      <c r="C6" s="34"/>
      <c r="D6" s="34"/>
      <c r="E6" s="67"/>
      <c r="F6" s="67"/>
      <c r="G6" s="67"/>
      <c r="H6" s="67"/>
      <c r="I6" s="67"/>
      <c r="J6" s="67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75"/>
      <c r="W6" s="75"/>
      <c r="X6" s="75"/>
      <c r="Y6" s="75"/>
      <c r="Z6" s="68"/>
      <c r="AA6" s="68"/>
      <c r="AB6" s="68"/>
      <c r="AC6" s="68"/>
      <c r="AD6" s="75"/>
      <c r="AE6" s="75"/>
      <c r="AF6" s="75"/>
      <c r="AG6" s="75"/>
      <c r="AH6" s="69"/>
      <c r="AI6" s="69"/>
      <c r="AJ6" s="69"/>
      <c r="AK6" s="69"/>
      <c r="AL6" s="76"/>
      <c r="AM6" s="76"/>
      <c r="AN6" s="70"/>
      <c r="AO6" s="70"/>
      <c r="AP6" s="70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2"/>
    </row>
    <row r="7" spans="1:63" ht="15" customHeight="1" x14ac:dyDescent="0.25">
      <c r="A7" s="73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2"/>
    </row>
    <row r="8" spans="1:63" ht="15" customHeight="1" x14ac:dyDescent="0.25">
      <c r="A8" s="73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2"/>
    </row>
    <row r="9" spans="1:63" ht="15" customHeight="1" x14ac:dyDescent="0.25">
      <c r="A9" s="73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2"/>
    </row>
    <row r="10" spans="1:63" ht="15" customHeight="1" x14ac:dyDescent="0.25">
      <c r="A10" s="73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2"/>
    </row>
    <row r="11" spans="1:63" ht="15" customHeight="1" x14ac:dyDescent="0.25">
      <c r="A11" s="73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2"/>
    </row>
    <row r="12" spans="1:63" ht="15" customHeight="1" x14ac:dyDescent="0.25">
      <c r="A12" s="73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2"/>
    </row>
    <row r="13" spans="1:63" ht="15" customHeight="1" x14ac:dyDescent="0.25">
      <c r="A13" s="73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2"/>
    </row>
    <row r="14" spans="1:63" ht="15" customHeight="1" x14ac:dyDescent="0.25">
      <c r="A14" s="73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2"/>
    </row>
    <row r="15" spans="1:63" ht="15" customHeight="1" x14ac:dyDescent="0.25">
      <c r="A15" s="73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2"/>
    </row>
    <row r="16" spans="1:63" ht="15" customHeight="1" x14ac:dyDescent="0.25">
      <c r="A16" s="73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2"/>
    </row>
    <row r="17" spans="1:63" ht="15" customHeight="1" x14ac:dyDescent="0.25">
      <c r="A17" s="73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2"/>
    </row>
    <row r="18" spans="1:63" ht="15" customHeight="1" x14ac:dyDescent="0.25">
      <c r="A18" s="73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2"/>
    </row>
    <row r="19" spans="1:63" ht="15" customHeight="1" x14ac:dyDescent="0.25">
      <c r="A19" s="73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2"/>
    </row>
    <row r="20" spans="1:63" ht="15" customHeight="1" x14ac:dyDescent="0.25">
      <c r="A20" s="73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2"/>
    </row>
    <row r="21" spans="1:63" ht="15" customHeight="1" x14ac:dyDescent="0.25">
      <c r="A21" s="73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2"/>
    </row>
    <row r="22" spans="1:63" ht="15" customHeight="1" x14ac:dyDescent="0.25">
      <c r="A22" s="73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2"/>
    </row>
    <row r="23" spans="1:63" ht="15" customHeight="1" x14ac:dyDescent="0.25">
      <c r="A23" s="7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2"/>
    </row>
    <row r="24" spans="1:63" ht="15" customHeight="1" x14ac:dyDescent="0.25">
      <c r="A24" s="7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2"/>
    </row>
    <row r="25" spans="1:63" ht="15" customHeight="1" x14ac:dyDescent="0.25">
      <c r="A25" s="7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2"/>
    </row>
    <row r="26" spans="1:63" ht="15" customHeight="1" x14ac:dyDescent="0.25">
      <c r="A26" s="7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2"/>
    </row>
    <row r="27" spans="1:63" ht="15" customHeight="1" x14ac:dyDescent="0.25">
      <c r="A27" s="73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2"/>
    </row>
    <row r="28" spans="1:63" ht="15" customHeight="1" x14ac:dyDescent="0.25">
      <c r="A28" s="73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133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2"/>
    </row>
    <row r="29" spans="1:63" ht="15" customHeight="1" x14ac:dyDescent="0.25">
      <c r="A29" s="73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2"/>
    </row>
    <row r="30" spans="1:63" ht="15" customHeight="1" x14ac:dyDescent="0.25">
      <c r="A30" s="73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2"/>
    </row>
    <row r="31" spans="1:63" ht="15" customHeight="1" x14ac:dyDescent="0.25">
      <c r="A31" s="73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2"/>
    </row>
    <row r="32" spans="1:63" ht="15" customHeight="1" x14ac:dyDescent="0.25">
      <c r="A32" s="73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2"/>
    </row>
    <row r="33" spans="1:63" ht="15" customHeight="1" x14ac:dyDescent="0.25">
      <c r="A33" s="73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2"/>
    </row>
    <row r="34" spans="1:63" ht="15" customHeight="1" x14ac:dyDescent="0.25">
      <c r="A34" s="73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2"/>
    </row>
    <row r="35" spans="1:63" ht="15" customHeight="1" x14ac:dyDescent="0.25">
      <c r="A35" s="73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2"/>
    </row>
    <row r="36" spans="1:63" ht="15" customHeight="1" x14ac:dyDescent="0.25">
      <c r="A36" s="73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2"/>
    </row>
    <row r="37" spans="1:63" ht="15" customHeight="1" x14ac:dyDescent="0.25">
      <c r="A37" s="73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2"/>
    </row>
    <row r="38" spans="1:63" ht="15" customHeight="1" x14ac:dyDescent="0.25">
      <c r="A38" s="73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2"/>
    </row>
    <row r="39" spans="1:63" ht="15" customHeight="1" x14ac:dyDescent="0.25">
      <c r="A39" s="73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2"/>
    </row>
    <row r="40" spans="1:63" ht="15" customHeight="1" x14ac:dyDescent="0.25">
      <c r="A40" s="73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2"/>
    </row>
    <row r="41" spans="1:63" ht="15" customHeight="1" x14ac:dyDescent="0.25">
      <c r="A41" s="73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2"/>
    </row>
    <row r="42" spans="1:63" ht="15" customHeight="1" x14ac:dyDescent="0.25">
      <c r="A42" s="73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2"/>
    </row>
    <row r="43" spans="1:63" ht="15" customHeight="1" x14ac:dyDescent="0.25">
      <c r="A43" s="73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2"/>
    </row>
    <row r="44" spans="1:63" ht="15" customHeight="1" x14ac:dyDescent="0.25">
      <c r="A44" s="73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2"/>
    </row>
    <row r="45" spans="1:63" ht="15" customHeight="1" x14ac:dyDescent="0.25">
      <c r="A45" s="73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2"/>
    </row>
    <row r="46" spans="1:63" ht="18" customHeight="1" x14ac:dyDescent="0.25">
      <c r="A46" s="140"/>
      <c r="BK46" s="132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K58"/>
  <sheetViews>
    <sheetView showGridLines="0" tabSelected="1" view="pageBreakPreview" zoomScaleNormal="75" zoomScaleSheetLayoutView="100" workbookViewId="0">
      <selection activeCell="Y63" sqref="Y63"/>
    </sheetView>
  </sheetViews>
  <sheetFormatPr defaultColWidth="3.77734375" defaultRowHeight="18" customHeight="1" x14ac:dyDescent="0.25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 x14ac:dyDescent="0.25">
      <c r="A1" s="244" t="s">
        <v>78</v>
      </c>
      <c r="B1" s="245"/>
      <c r="C1" s="245"/>
      <c r="D1" s="245"/>
      <c r="E1" s="245"/>
      <c r="F1" s="245"/>
      <c r="G1" s="245"/>
      <c r="H1" s="245"/>
      <c r="I1" s="245"/>
      <c r="J1" s="246"/>
      <c r="K1" s="244" t="s">
        <v>79</v>
      </c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6"/>
      <c r="W1" s="495" t="str">
        <f>IF(Bìa!W1="","",Bìa!W1)</f>
        <v>TKCB</v>
      </c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  <c r="AO1" s="497"/>
      <c r="AP1" s="244" t="s">
        <v>80</v>
      </c>
      <c r="AQ1" s="245"/>
      <c r="AR1" s="245"/>
      <c r="AS1" s="246"/>
      <c r="AT1" s="244" t="s">
        <v>81</v>
      </c>
      <c r="AU1" s="245"/>
      <c r="AV1" s="245"/>
      <c r="AW1" s="245"/>
      <c r="AX1" s="246"/>
      <c r="AY1" s="244" t="s">
        <v>82</v>
      </c>
      <c r="AZ1" s="245"/>
      <c r="BA1" s="245"/>
      <c r="BB1" s="246"/>
      <c r="BC1" s="244" t="s">
        <v>83</v>
      </c>
      <c r="BD1" s="245"/>
      <c r="BE1" s="245"/>
      <c r="BF1" s="245"/>
      <c r="BG1" s="246"/>
      <c r="BH1" s="244" t="s">
        <v>42</v>
      </c>
      <c r="BI1" s="245"/>
      <c r="BJ1" s="245"/>
      <c r="BK1" s="246"/>
    </row>
    <row r="2" spans="1:63" ht="15" customHeight="1" x14ac:dyDescent="0.25">
      <c r="A2" s="480" t="str">
        <f>IF(Bìa!A2="","",Bìa!A2)</f>
        <v>Manager User</v>
      </c>
      <c r="B2" s="481"/>
      <c r="C2" s="481"/>
      <c r="D2" s="481"/>
      <c r="E2" s="481"/>
      <c r="F2" s="481"/>
      <c r="G2" s="481"/>
      <c r="H2" s="481"/>
      <c r="I2" s="481"/>
      <c r="J2" s="482"/>
      <c r="K2" s="480" t="str">
        <f>IF(Bìa!K2="","",Bìa!K2)</f>
        <v>Thiết kế API</v>
      </c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2"/>
      <c r="W2" s="498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500"/>
      <c r="AP2" s="480" t="str">
        <f>IF(Bìa!AP2="","",Bìa!AP2)</f>
        <v>ThanhPD</v>
      </c>
      <c r="AQ2" s="481"/>
      <c r="AR2" s="481"/>
      <c r="AS2" s="482"/>
      <c r="AT2" s="489">
        <f>IF(Bìa!AT2="","",Bìa!AT2)</f>
        <v>44930</v>
      </c>
      <c r="AU2" s="490"/>
      <c r="AV2" s="490"/>
      <c r="AW2" s="490"/>
      <c r="AX2" s="491"/>
      <c r="AY2" s="480" t="str">
        <f>IF(Bìa!AY2="","",Bìa!AY2)</f>
        <v>ThanhPD</v>
      </c>
      <c r="AZ2" s="481"/>
      <c r="BA2" s="481"/>
      <c r="BB2" s="482"/>
      <c r="BC2" s="489">
        <f>IF(Bìa!BC2="","",Bìa!BC2)</f>
        <v>44930</v>
      </c>
      <c r="BD2" s="490"/>
      <c r="BE2" s="490"/>
      <c r="BF2" s="490"/>
      <c r="BG2" s="491"/>
      <c r="BH2" s="480">
        <f>IF(Bìa!BH2="","",Bìa!BH2)</f>
        <v>0.1</v>
      </c>
      <c r="BI2" s="481"/>
      <c r="BJ2" s="481"/>
      <c r="BK2" s="482"/>
    </row>
    <row r="3" spans="1:63" ht="15" customHeight="1" x14ac:dyDescent="0.25">
      <c r="A3" s="483"/>
      <c r="B3" s="484"/>
      <c r="C3" s="484"/>
      <c r="D3" s="484"/>
      <c r="E3" s="484"/>
      <c r="F3" s="484"/>
      <c r="G3" s="484"/>
      <c r="H3" s="484"/>
      <c r="I3" s="484"/>
      <c r="J3" s="485"/>
      <c r="K3" s="483"/>
      <c r="L3" s="484"/>
      <c r="M3" s="484"/>
      <c r="N3" s="484"/>
      <c r="O3" s="484"/>
      <c r="P3" s="484"/>
      <c r="Q3" s="484"/>
      <c r="R3" s="484"/>
      <c r="S3" s="484"/>
      <c r="T3" s="484"/>
      <c r="U3" s="484"/>
      <c r="V3" s="485"/>
      <c r="W3" s="501"/>
      <c r="X3" s="502"/>
      <c r="Y3" s="502"/>
      <c r="Z3" s="502"/>
      <c r="AA3" s="502"/>
      <c r="AB3" s="502"/>
      <c r="AC3" s="502"/>
      <c r="AD3" s="502"/>
      <c r="AE3" s="502"/>
      <c r="AF3" s="502"/>
      <c r="AG3" s="502"/>
      <c r="AH3" s="502"/>
      <c r="AI3" s="502"/>
      <c r="AJ3" s="502"/>
      <c r="AK3" s="502"/>
      <c r="AL3" s="502"/>
      <c r="AM3" s="502"/>
      <c r="AN3" s="502"/>
      <c r="AO3" s="503"/>
      <c r="AP3" s="483"/>
      <c r="AQ3" s="484"/>
      <c r="AR3" s="484"/>
      <c r="AS3" s="485"/>
      <c r="AT3" s="492"/>
      <c r="AU3" s="493"/>
      <c r="AV3" s="493"/>
      <c r="AW3" s="493"/>
      <c r="AX3" s="494"/>
      <c r="AY3" s="483"/>
      <c r="AZ3" s="484"/>
      <c r="BA3" s="484"/>
      <c r="BB3" s="485"/>
      <c r="BC3" s="492"/>
      <c r="BD3" s="493"/>
      <c r="BE3" s="493"/>
      <c r="BF3" s="493"/>
      <c r="BG3" s="494"/>
      <c r="BH3" s="483"/>
      <c r="BI3" s="484"/>
      <c r="BJ3" s="484"/>
      <c r="BK3" s="485"/>
    </row>
    <row r="4" spans="1:63" ht="24.95" customHeight="1" x14ac:dyDescent="0.25">
      <c r="A4" s="244" t="s">
        <v>84</v>
      </c>
      <c r="B4" s="245"/>
      <c r="C4" s="245"/>
      <c r="D4" s="245"/>
      <c r="E4" s="245"/>
      <c r="F4" s="245"/>
      <c r="G4" s="246"/>
      <c r="H4" s="486" t="str">
        <f>IF(Bìa!H4="","",Bìa!H4)</f>
        <v/>
      </c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8"/>
      <c r="U4" s="244" t="s">
        <v>85</v>
      </c>
      <c r="V4" s="245"/>
      <c r="W4" s="245"/>
      <c r="X4" s="245"/>
      <c r="Y4" s="246"/>
      <c r="Z4" s="486" t="str">
        <f>IF(Bìa!Z4="","",Bìa!Z4)</f>
        <v>Delete employee</v>
      </c>
      <c r="AA4" s="487"/>
      <c r="AB4" s="487"/>
      <c r="AC4" s="487"/>
      <c r="AD4" s="487"/>
      <c r="AE4" s="487"/>
      <c r="AF4" s="487"/>
      <c r="AG4" s="487"/>
      <c r="AH4" s="487"/>
      <c r="AI4" s="487"/>
      <c r="AJ4" s="487"/>
      <c r="AK4" s="487"/>
      <c r="AL4" s="487"/>
      <c r="AM4" s="487"/>
      <c r="AN4" s="487"/>
      <c r="AO4" s="488"/>
      <c r="AP4" s="486" t="s">
        <v>86</v>
      </c>
      <c r="AQ4" s="487"/>
      <c r="AR4" s="487"/>
      <c r="AS4" s="487"/>
      <c r="AT4" s="487"/>
      <c r="AU4" s="487"/>
      <c r="AV4" s="487"/>
      <c r="AW4" s="487"/>
      <c r="AX4" s="487"/>
      <c r="AY4" s="487"/>
      <c r="AZ4" s="487"/>
      <c r="BA4" s="487"/>
      <c r="BB4" s="487"/>
      <c r="BC4" s="487"/>
      <c r="BD4" s="487"/>
      <c r="BE4" s="487"/>
      <c r="BF4" s="487"/>
      <c r="BG4" s="487"/>
      <c r="BH4" s="487"/>
      <c r="BI4" s="487"/>
      <c r="BJ4" s="487"/>
      <c r="BK4" s="488"/>
    </row>
    <row r="5" spans="1:63" ht="5.0999999999999996" customHeight="1" x14ac:dyDescent="0.25">
      <c r="A5" s="177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9"/>
    </row>
    <row r="6" spans="1:63" ht="1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 x14ac:dyDescent="0.25">
      <c r="A7" s="23"/>
      <c r="B7" s="162" t="s">
        <v>55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 x14ac:dyDescent="0.25">
      <c r="A8" s="23"/>
      <c r="B8" s="162"/>
      <c r="C8" s="24" t="s">
        <v>51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 x14ac:dyDescent="0.25">
      <c r="A9" s="23"/>
      <c r="B9" s="162" t="s">
        <v>56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s="123" customFormat="1" ht="15" customHeight="1" x14ac:dyDescent="0.25">
      <c r="A10" s="180"/>
      <c r="B10" s="121"/>
      <c r="C10" s="181" t="s">
        <v>52</v>
      </c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2"/>
    </row>
    <row r="11" spans="1:63" s="123" customFormat="1" ht="15" customHeight="1" x14ac:dyDescent="0.25">
      <c r="A11" s="180"/>
      <c r="B11" s="121"/>
      <c r="C11" s="181"/>
      <c r="D11" s="121"/>
      <c r="E11" s="121" t="s">
        <v>104</v>
      </c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2"/>
    </row>
    <row r="12" spans="1:63" s="123" customFormat="1" ht="15" customHeight="1" x14ac:dyDescent="0.25">
      <c r="A12" s="180"/>
      <c r="B12" s="121"/>
      <c r="C12" s="181"/>
      <c r="D12" s="121"/>
      <c r="E12" s="121"/>
      <c r="F12" s="121" t="s">
        <v>128</v>
      </c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2"/>
    </row>
    <row r="13" spans="1:63" s="123" customFormat="1" ht="15" customHeight="1" x14ac:dyDescent="0.25">
      <c r="A13" s="180"/>
      <c r="B13" s="121"/>
      <c r="C13" s="181"/>
      <c r="D13" s="121"/>
      <c r="E13" s="121"/>
      <c r="F13" s="121" t="s">
        <v>129</v>
      </c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2"/>
    </row>
    <row r="14" spans="1:63" s="123" customFormat="1" ht="15" customHeight="1" x14ac:dyDescent="0.25">
      <c r="A14" s="180"/>
      <c r="B14" s="121"/>
      <c r="C14" s="181"/>
      <c r="D14" s="121"/>
      <c r="E14" s="121" t="s">
        <v>127</v>
      </c>
      <c r="F14" s="234"/>
      <c r="G14" s="121"/>
      <c r="H14" s="121"/>
      <c r="I14" s="235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226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2"/>
    </row>
    <row r="15" spans="1:63" s="123" customFormat="1" ht="15" customHeight="1" x14ac:dyDescent="0.25">
      <c r="A15" s="180"/>
      <c r="B15" s="230" t="s">
        <v>116</v>
      </c>
      <c r="C15" s="230"/>
      <c r="D15" s="231"/>
      <c r="E15" s="231"/>
      <c r="F15" s="231"/>
      <c r="G15" s="23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226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2"/>
    </row>
    <row r="16" spans="1:63" ht="15" customHeight="1" x14ac:dyDescent="0.25">
      <c r="A16" s="23"/>
      <c r="B16" s="162"/>
      <c r="C16" s="163" t="s">
        <v>111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181"/>
      <c r="V16" s="121"/>
      <c r="W16" s="121"/>
      <c r="X16" s="121"/>
      <c r="Y16" s="121"/>
      <c r="Z16" s="121"/>
      <c r="AA16" s="227"/>
      <c r="AB16" s="121"/>
      <c r="AC16" s="121"/>
      <c r="AD16" s="121"/>
      <c r="AE16" s="121"/>
      <c r="AF16" s="121"/>
      <c r="AG16" s="121"/>
      <c r="AH16" s="121"/>
      <c r="AI16" s="121"/>
      <c r="AJ16" s="121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 x14ac:dyDescent="0.25">
      <c r="A17" s="23"/>
      <c r="B17" s="24"/>
      <c r="C17" s="24"/>
      <c r="D17" s="182" t="s">
        <v>62</v>
      </c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</row>
    <row r="18" spans="1:63" ht="15" customHeight="1" x14ac:dyDescent="0.25">
      <c r="A18" s="23"/>
      <c r="B18" s="24"/>
      <c r="C18" s="24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3" ht="15" customHeight="1" x14ac:dyDescent="0.25">
      <c r="A19" s="23"/>
      <c r="B19" s="24"/>
      <c r="C19" s="24"/>
      <c r="D19" s="182"/>
      <c r="E19" s="182"/>
      <c r="F19" s="183" t="s">
        <v>63</v>
      </c>
      <c r="G19" s="184"/>
      <c r="H19" s="183" t="s">
        <v>64</v>
      </c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4"/>
      <c r="X19" s="183" t="s">
        <v>65</v>
      </c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6"/>
      <c r="AN19" s="187" t="s">
        <v>66</v>
      </c>
      <c r="AO19" s="185"/>
      <c r="AP19" s="184"/>
      <c r="AQ19" s="183" t="s">
        <v>67</v>
      </c>
      <c r="AR19" s="185"/>
      <c r="AS19" s="184"/>
      <c r="AT19" s="183" t="s">
        <v>68</v>
      </c>
      <c r="AU19" s="185"/>
      <c r="AV19" s="184"/>
      <c r="AW19" s="183" t="s">
        <v>69</v>
      </c>
      <c r="AX19" s="18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3" ht="15" customHeight="1" x14ac:dyDescent="0.25">
      <c r="A20" s="23"/>
      <c r="B20" s="24"/>
      <c r="C20" s="24"/>
      <c r="D20" s="182"/>
      <c r="E20" s="182"/>
      <c r="F20" s="188">
        <v>1</v>
      </c>
      <c r="G20" s="189"/>
      <c r="H20" s="476" t="s">
        <v>109</v>
      </c>
      <c r="I20" s="476"/>
      <c r="J20" s="476"/>
      <c r="K20" s="476"/>
      <c r="L20" s="476"/>
      <c r="M20" s="476"/>
      <c r="N20" s="476"/>
      <c r="O20" s="476"/>
      <c r="P20" s="476"/>
      <c r="Q20" s="476"/>
      <c r="R20" s="476"/>
      <c r="S20" s="476"/>
      <c r="T20" s="476"/>
      <c r="U20" s="476"/>
      <c r="V20" s="476"/>
      <c r="W20" s="476"/>
      <c r="X20" s="476" t="s">
        <v>110</v>
      </c>
      <c r="Y20" s="476"/>
      <c r="Z20" s="476"/>
      <c r="AA20" s="476"/>
      <c r="AB20" s="476"/>
      <c r="AC20" s="476"/>
      <c r="AD20" s="476"/>
      <c r="AE20" s="476"/>
      <c r="AF20" s="476"/>
      <c r="AG20" s="476"/>
      <c r="AH20" s="476"/>
      <c r="AI20" s="476"/>
      <c r="AJ20" s="476"/>
      <c r="AK20" s="476"/>
      <c r="AL20" s="476"/>
      <c r="AM20" s="476"/>
      <c r="AN20" s="190"/>
      <c r="AO20" s="191"/>
      <c r="AP20" s="189"/>
      <c r="AQ20" s="192"/>
      <c r="AR20" s="191"/>
      <c r="AS20" s="189"/>
      <c r="AT20" s="192"/>
      <c r="AU20" s="191"/>
      <c r="AV20" s="189"/>
      <c r="AW20" s="192" t="s">
        <v>70</v>
      </c>
      <c r="AX20" s="189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3" ht="15" customHeight="1" x14ac:dyDescent="0.25">
      <c r="A21" s="23"/>
      <c r="B21" s="24"/>
      <c r="C21" s="24"/>
      <c r="D21" s="182"/>
      <c r="E21" s="182"/>
      <c r="F21" s="193"/>
      <c r="G21" s="194"/>
      <c r="H21" s="195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95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94"/>
      <c r="AO21" s="196"/>
      <c r="AP21" s="194"/>
      <c r="AQ21" s="194"/>
      <c r="AR21" s="196"/>
      <c r="AS21" s="194"/>
      <c r="AT21" s="194"/>
      <c r="AU21" s="196"/>
      <c r="AV21" s="194"/>
      <c r="AW21" s="194"/>
      <c r="AX21" s="19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3" ht="15" customHeight="1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3" ht="15" customHeight="1" x14ac:dyDescent="0.25">
      <c r="A23" s="23"/>
      <c r="B23" s="24"/>
      <c r="C23" s="24"/>
      <c r="D23" s="123" t="s">
        <v>71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3" ht="15" customHeight="1" x14ac:dyDescent="0.25">
      <c r="A24" s="23"/>
      <c r="B24" s="24"/>
      <c r="C24" s="24"/>
      <c r="D24" s="24"/>
      <c r="E24" s="197" t="s">
        <v>73</v>
      </c>
      <c r="F24" s="197" t="s">
        <v>94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3" ht="15" customHeight="1" x14ac:dyDescent="0.25">
      <c r="A25" s="23"/>
      <c r="B25" s="24"/>
      <c r="C25" s="24"/>
      <c r="D25" s="24"/>
      <c r="E25" s="183" t="s">
        <v>63</v>
      </c>
      <c r="F25" s="184"/>
      <c r="G25" s="202" t="s">
        <v>72</v>
      </c>
      <c r="H25" s="200"/>
      <c r="I25" s="200"/>
      <c r="J25" s="200"/>
      <c r="K25" s="200"/>
      <c r="L25" s="200"/>
      <c r="M25" s="200"/>
      <c r="N25" s="200"/>
      <c r="O25" s="200"/>
      <c r="P25" s="201"/>
      <c r="Q25" s="200" t="s">
        <v>90</v>
      </c>
      <c r="R25" s="200"/>
      <c r="S25" s="200"/>
      <c r="T25" s="200"/>
      <c r="U25" s="200"/>
      <c r="V25" s="200"/>
      <c r="W25" s="200"/>
      <c r="X25" s="200"/>
      <c r="Y25" s="200"/>
      <c r="Z25" s="200"/>
      <c r="AA25" s="202" t="s">
        <v>54</v>
      </c>
      <c r="AB25" s="200"/>
      <c r="AC25" s="200"/>
      <c r="AD25" s="200"/>
      <c r="AE25" s="200"/>
      <c r="AF25" s="210"/>
      <c r="AG25" s="210"/>
      <c r="AH25" s="210"/>
      <c r="AI25" s="210"/>
      <c r="AJ25" s="210"/>
      <c r="AK25" s="210"/>
      <c r="AL25" s="21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1"/>
      <c r="BB25" s="24"/>
      <c r="BC25" s="24"/>
      <c r="BD25" s="24"/>
      <c r="BE25" s="24"/>
      <c r="BF25" s="24"/>
      <c r="BG25" s="24"/>
      <c r="BH25" s="24"/>
      <c r="BI25" s="24"/>
      <c r="BJ25" s="24"/>
      <c r="BK25" s="25"/>
    </row>
    <row r="26" spans="1:63" ht="15" customHeight="1" x14ac:dyDescent="0.25">
      <c r="A26" s="23"/>
      <c r="B26" s="24"/>
      <c r="C26" s="24"/>
      <c r="D26" s="24"/>
      <c r="E26" s="192">
        <v>1</v>
      </c>
      <c r="F26" s="189"/>
      <c r="G26" s="209" t="s">
        <v>110</v>
      </c>
      <c r="H26" s="198"/>
      <c r="I26" s="198"/>
      <c r="J26" s="198"/>
      <c r="K26" s="198"/>
      <c r="L26" s="198"/>
      <c r="M26" s="198"/>
      <c r="N26" s="198"/>
      <c r="O26" s="198"/>
      <c r="P26" s="199"/>
      <c r="Q26" s="134" t="s">
        <v>105</v>
      </c>
      <c r="R26" s="198"/>
      <c r="S26" s="198"/>
      <c r="T26" s="198"/>
      <c r="U26" s="198"/>
      <c r="V26" s="198"/>
      <c r="W26" s="198"/>
      <c r="X26" s="198"/>
      <c r="Y26" s="198"/>
      <c r="Z26" s="198"/>
      <c r="AA26" s="134" t="s">
        <v>106</v>
      </c>
      <c r="AB26" s="198"/>
      <c r="AC26" s="198"/>
      <c r="AD26" s="198"/>
      <c r="AE26" s="198"/>
      <c r="AF26" s="211"/>
      <c r="AG26" s="211"/>
      <c r="AH26" s="211"/>
      <c r="AI26" s="211"/>
      <c r="AJ26" s="211"/>
      <c r="AK26" s="211"/>
      <c r="AL26" s="211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99"/>
      <c r="BB26" s="24"/>
      <c r="BC26" s="24"/>
      <c r="BD26" s="24"/>
      <c r="BE26" s="24"/>
      <c r="BF26" s="24"/>
      <c r="BG26" s="24"/>
      <c r="BH26" s="24"/>
      <c r="BI26" s="24"/>
      <c r="BJ26" s="24"/>
      <c r="BK26" s="25"/>
    </row>
    <row r="27" spans="1:63" ht="15" customHeight="1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5"/>
    </row>
    <row r="28" spans="1:63" ht="15" customHeight="1" x14ac:dyDescent="0.25">
      <c r="A28" s="23"/>
      <c r="B28" s="24"/>
      <c r="C28" s="24"/>
      <c r="D28" s="24"/>
      <c r="E28" s="24" t="s">
        <v>96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24"/>
      <c r="BK28" s="25"/>
    </row>
    <row r="29" spans="1:63" ht="15" customHeight="1" x14ac:dyDescent="0.25">
      <c r="A29" s="23"/>
      <c r="B29" s="162"/>
      <c r="C29" s="163" t="s">
        <v>112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5"/>
    </row>
    <row r="30" spans="1:63" ht="15" customHeight="1" x14ac:dyDescent="0.25">
      <c r="A30" s="23"/>
      <c r="B30" s="162"/>
      <c r="C30" s="163"/>
      <c r="D30" s="24"/>
      <c r="E30" s="182" t="s">
        <v>62</v>
      </c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5"/>
    </row>
    <row r="31" spans="1:63" ht="15" customHeight="1" x14ac:dyDescent="0.25">
      <c r="A31" s="23"/>
      <c r="B31" s="162"/>
      <c r="C31" s="163"/>
      <c r="D31" s="24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5"/>
    </row>
    <row r="32" spans="1:63" ht="15" customHeight="1" x14ac:dyDescent="0.25">
      <c r="A32" s="23"/>
      <c r="B32" s="162"/>
      <c r="C32" s="163"/>
      <c r="D32" s="24"/>
      <c r="E32" s="182"/>
      <c r="F32" s="182"/>
      <c r="G32" s="183" t="s">
        <v>63</v>
      </c>
      <c r="H32" s="184"/>
      <c r="I32" s="183" t="s">
        <v>64</v>
      </c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4"/>
      <c r="Y32" s="183" t="s">
        <v>65</v>
      </c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6"/>
      <c r="AO32" s="187" t="s">
        <v>66</v>
      </c>
      <c r="AP32" s="185"/>
      <c r="AQ32" s="184"/>
      <c r="AR32" s="183" t="s">
        <v>67</v>
      </c>
      <c r="AS32" s="185"/>
      <c r="AT32" s="184"/>
      <c r="AU32" s="183" t="s">
        <v>68</v>
      </c>
      <c r="AV32" s="185"/>
      <c r="AW32" s="184"/>
      <c r="AX32" s="183" t="s">
        <v>69</v>
      </c>
      <c r="AY32" s="18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5"/>
    </row>
    <row r="33" spans="1:63" ht="15" customHeight="1" x14ac:dyDescent="0.25">
      <c r="A33" s="23"/>
      <c r="B33" s="162"/>
      <c r="C33" s="163"/>
      <c r="D33" s="24"/>
      <c r="E33" s="182"/>
      <c r="F33" s="182"/>
      <c r="G33" s="188">
        <v>1</v>
      </c>
      <c r="H33" s="189"/>
      <c r="I33" s="476" t="s">
        <v>113</v>
      </c>
      <c r="J33" s="477"/>
      <c r="K33" s="477"/>
      <c r="L33" s="477"/>
      <c r="M33" s="477"/>
      <c r="N33" s="477"/>
      <c r="O33" s="477"/>
      <c r="P33" s="477"/>
      <c r="Q33" s="477"/>
      <c r="R33" s="477"/>
      <c r="S33" s="477"/>
      <c r="T33" s="477"/>
      <c r="U33" s="477"/>
      <c r="V33" s="477"/>
      <c r="W33" s="477"/>
      <c r="X33" s="479"/>
      <c r="Y33" s="476" t="s">
        <v>107</v>
      </c>
      <c r="Z33" s="477"/>
      <c r="AA33" s="477"/>
      <c r="AB33" s="477"/>
      <c r="AC33" s="477"/>
      <c r="AD33" s="477"/>
      <c r="AE33" s="477"/>
      <c r="AF33" s="477"/>
      <c r="AG33" s="477"/>
      <c r="AH33" s="477"/>
      <c r="AI33" s="477"/>
      <c r="AJ33" s="477"/>
      <c r="AK33" s="477"/>
      <c r="AL33" s="477"/>
      <c r="AM33" s="477"/>
      <c r="AN33" s="478"/>
      <c r="AO33" s="190"/>
      <c r="AP33" s="191"/>
      <c r="AQ33" s="189"/>
      <c r="AR33" s="192"/>
      <c r="AS33" s="191"/>
      <c r="AT33" s="189"/>
      <c r="AU33" s="192"/>
      <c r="AV33" s="191"/>
      <c r="AW33" s="189"/>
      <c r="AX33" s="192" t="s">
        <v>70</v>
      </c>
      <c r="AY33" s="189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5"/>
    </row>
    <row r="34" spans="1:63" ht="15" customHeight="1" x14ac:dyDescent="0.25">
      <c r="A34" s="23"/>
      <c r="B34" s="162"/>
      <c r="C34" s="163"/>
      <c r="D34" s="24"/>
      <c r="E34" s="182"/>
      <c r="F34" s="182"/>
      <c r="G34" s="193"/>
      <c r="H34" s="194"/>
      <c r="I34" s="195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95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94"/>
      <c r="AP34" s="196"/>
      <c r="AQ34" s="194"/>
      <c r="AR34" s="194"/>
      <c r="AS34" s="196"/>
      <c r="AT34" s="194"/>
      <c r="AU34" s="194"/>
      <c r="AV34" s="196"/>
      <c r="AW34" s="194"/>
      <c r="AX34" s="194"/>
      <c r="AY34" s="19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5"/>
    </row>
    <row r="35" spans="1:63" ht="15" customHeight="1" x14ac:dyDescent="0.25">
      <c r="A35" s="23"/>
      <c r="B35" s="162"/>
      <c r="C35" s="16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5"/>
    </row>
    <row r="36" spans="1:63" ht="15" customHeight="1" x14ac:dyDescent="0.25">
      <c r="A36" s="23"/>
      <c r="B36" s="162"/>
      <c r="C36" s="163"/>
      <c r="D36" s="123" t="s">
        <v>71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5"/>
    </row>
    <row r="37" spans="1:63" ht="15" customHeight="1" x14ac:dyDescent="0.25">
      <c r="A37" s="23"/>
      <c r="B37" s="162"/>
      <c r="C37" s="163"/>
      <c r="D37" s="24"/>
      <c r="E37" s="197" t="s">
        <v>73</v>
      </c>
      <c r="F37" s="197" t="s">
        <v>94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5"/>
    </row>
    <row r="38" spans="1:63" ht="15" customHeight="1" x14ac:dyDescent="0.25">
      <c r="A38" s="23"/>
      <c r="B38" s="162"/>
      <c r="C38" s="163"/>
      <c r="D38" s="24"/>
      <c r="E38" s="183" t="s">
        <v>63</v>
      </c>
      <c r="F38" s="184"/>
      <c r="G38" s="202" t="s">
        <v>72</v>
      </c>
      <c r="H38" s="200"/>
      <c r="I38" s="200"/>
      <c r="J38" s="200"/>
      <c r="K38" s="200"/>
      <c r="L38" s="200"/>
      <c r="M38" s="200"/>
      <c r="N38" s="200"/>
      <c r="O38" s="200"/>
      <c r="P38" s="201"/>
      <c r="Q38" s="200" t="s">
        <v>90</v>
      </c>
      <c r="R38" s="200"/>
      <c r="S38" s="200"/>
      <c r="T38" s="200"/>
      <c r="U38" s="200"/>
      <c r="V38" s="200"/>
      <c r="W38" s="200"/>
      <c r="X38" s="200"/>
      <c r="Y38" s="200"/>
      <c r="Z38" s="200"/>
      <c r="AA38" s="202" t="s">
        <v>54</v>
      </c>
      <c r="AB38" s="200"/>
      <c r="AC38" s="200"/>
      <c r="AD38" s="200"/>
      <c r="AE38" s="200"/>
      <c r="AF38" s="210"/>
      <c r="AG38" s="210"/>
      <c r="AH38" s="210"/>
      <c r="AI38" s="210"/>
      <c r="AJ38" s="210"/>
      <c r="AK38" s="210"/>
      <c r="AL38" s="210"/>
      <c r="AM38" s="200"/>
      <c r="AN38" s="200"/>
      <c r="AO38" s="200"/>
      <c r="AP38" s="200"/>
      <c r="AQ38" s="200"/>
      <c r="AR38" s="200"/>
      <c r="AS38" s="200"/>
      <c r="AT38" s="200"/>
      <c r="AU38" s="200"/>
      <c r="AV38" s="200"/>
      <c r="AW38" s="200"/>
      <c r="AX38" s="200"/>
      <c r="AY38" s="200"/>
      <c r="AZ38" s="200"/>
      <c r="BA38" s="201"/>
      <c r="BB38" s="24"/>
      <c r="BC38" s="24"/>
      <c r="BD38" s="24"/>
      <c r="BE38" s="24"/>
      <c r="BF38" s="24"/>
      <c r="BG38" s="24"/>
      <c r="BH38" s="24"/>
      <c r="BI38" s="24"/>
      <c r="BJ38" s="24"/>
      <c r="BK38" s="25"/>
    </row>
    <row r="39" spans="1:63" ht="15" customHeight="1" x14ac:dyDescent="0.25">
      <c r="A39" s="23"/>
      <c r="B39" s="162"/>
      <c r="C39" s="163"/>
      <c r="D39" s="24"/>
      <c r="E39" s="192">
        <v>1</v>
      </c>
      <c r="F39" s="189"/>
      <c r="G39" s="209" t="s">
        <v>107</v>
      </c>
      <c r="H39" s="198"/>
      <c r="I39" s="198"/>
      <c r="J39" s="198"/>
      <c r="K39" s="198"/>
      <c r="L39" s="198"/>
      <c r="M39" s="198"/>
      <c r="N39" s="198"/>
      <c r="O39" s="198"/>
      <c r="P39" s="199"/>
      <c r="Q39" s="134" t="s">
        <v>105</v>
      </c>
      <c r="R39" s="198"/>
      <c r="S39" s="198"/>
      <c r="T39" s="198"/>
      <c r="U39" s="198"/>
      <c r="V39" s="198"/>
      <c r="W39" s="198"/>
      <c r="X39" s="198"/>
      <c r="Y39" s="198"/>
      <c r="Z39" s="198"/>
      <c r="AA39" s="134" t="s">
        <v>106</v>
      </c>
      <c r="AB39" s="198"/>
      <c r="AC39" s="198"/>
      <c r="AD39" s="198"/>
      <c r="AE39" s="198"/>
      <c r="AF39" s="211"/>
      <c r="AG39" s="211"/>
      <c r="AH39" s="211"/>
      <c r="AI39" s="211"/>
      <c r="AJ39" s="211"/>
      <c r="AK39" s="211"/>
      <c r="AL39" s="211"/>
      <c r="AM39" s="198"/>
      <c r="AN39" s="198"/>
      <c r="AO39" s="198"/>
      <c r="AP39" s="198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9"/>
      <c r="BB39" s="24"/>
      <c r="BC39" s="24"/>
      <c r="BD39" s="24"/>
      <c r="BE39" s="24"/>
      <c r="BF39" s="24"/>
      <c r="BG39" s="24"/>
      <c r="BH39" s="24"/>
      <c r="BI39" s="24"/>
      <c r="BJ39" s="24"/>
      <c r="BK39" s="25"/>
    </row>
    <row r="40" spans="1:63" ht="15" customHeight="1" x14ac:dyDescent="0.25">
      <c r="A40" s="23"/>
      <c r="B40" s="162"/>
      <c r="C40" s="16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5"/>
    </row>
    <row r="41" spans="1:63" ht="15" customHeight="1" x14ac:dyDescent="0.25">
      <c r="A41" s="23"/>
      <c r="B41" s="163" t="s">
        <v>117</v>
      </c>
      <c r="C41" s="232"/>
      <c r="D41" s="232"/>
      <c r="E41" s="232"/>
      <c r="F41" s="232"/>
      <c r="G41" s="228"/>
      <c r="H41" s="228"/>
      <c r="I41" s="228"/>
      <c r="J41" s="228"/>
      <c r="K41" s="228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5"/>
    </row>
    <row r="42" spans="1:63" ht="15" customHeight="1" x14ac:dyDescent="0.25">
      <c r="A42" s="23"/>
      <c r="B42" s="163" t="s">
        <v>118</v>
      </c>
      <c r="C42" s="232"/>
      <c r="D42" s="232"/>
      <c r="E42" s="232"/>
      <c r="F42" s="232"/>
      <c r="G42" s="228"/>
      <c r="H42" s="228"/>
      <c r="I42" s="228"/>
      <c r="J42" s="228"/>
      <c r="K42" s="228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5"/>
    </row>
    <row r="43" spans="1:63" ht="15" customHeight="1" x14ac:dyDescent="0.25">
      <c r="A43" s="23"/>
      <c r="B43" s="162"/>
      <c r="C43" s="163"/>
      <c r="D43" s="24"/>
      <c r="E43" s="24" t="s">
        <v>130</v>
      </c>
      <c r="F43" s="24"/>
      <c r="G43" s="194"/>
      <c r="H43" s="194"/>
      <c r="I43" s="71"/>
      <c r="J43" s="197"/>
      <c r="K43" s="197"/>
      <c r="L43" s="197"/>
      <c r="M43" s="197"/>
      <c r="N43" s="197"/>
      <c r="O43" s="197"/>
      <c r="P43" s="197"/>
      <c r="Q43" s="197"/>
      <c r="R43" s="197"/>
      <c r="S43" s="148"/>
      <c r="T43" s="197"/>
      <c r="U43" s="197"/>
      <c r="V43" s="197"/>
      <c r="W43" s="197"/>
      <c r="X43" s="197"/>
      <c r="Y43" s="197"/>
      <c r="Z43" s="197"/>
      <c r="AA43" s="197"/>
      <c r="AB43" s="197"/>
      <c r="AC43" s="148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  <c r="BB43" s="197"/>
      <c r="BC43" s="197"/>
      <c r="BG43" s="24"/>
      <c r="BH43" s="24"/>
      <c r="BI43" s="24"/>
      <c r="BJ43" s="24"/>
      <c r="BK43" s="25"/>
    </row>
    <row r="44" spans="1:63" ht="15" customHeight="1" x14ac:dyDescent="0.25">
      <c r="A44" s="23"/>
      <c r="B44" s="162"/>
      <c r="C44" s="163"/>
      <c r="D44" s="24"/>
      <c r="E44" s="24"/>
      <c r="F44" s="24"/>
      <c r="G44" s="194"/>
      <c r="H44" s="194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R44" s="197"/>
      <c r="AS44" s="197"/>
      <c r="AT44" s="197"/>
      <c r="AU44" s="197"/>
      <c r="AV44" s="197"/>
      <c r="AW44" s="197"/>
      <c r="AX44" s="148"/>
      <c r="AY44" s="148"/>
      <c r="AZ44" s="148"/>
      <c r="BA44" s="148"/>
      <c r="BB44" s="24"/>
      <c r="BC44" s="24"/>
      <c r="BG44" s="24"/>
      <c r="BH44" s="24"/>
      <c r="BI44" s="24"/>
      <c r="BJ44" s="24"/>
      <c r="BK44" s="25"/>
    </row>
    <row r="45" spans="1:63" ht="15" customHeight="1" x14ac:dyDescent="0.25">
      <c r="A45" s="23"/>
      <c r="B45" s="24"/>
      <c r="C45" s="163" t="s">
        <v>95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5"/>
    </row>
    <row r="46" spans="1:63" ht="15" customHeight="1" x14ac:dyDescent="0.25">
      <c r="A46" s="23"/>
      <c r="B46" s="24"/>
      <c r="C46" s="24"/>
      <c r="D46" s="197" t="s">
        <v>87</v>
      </c>
      <c r="E46" s="148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5"/>
    </row>
    <row r="47" spans="1:63" ht="15" customHeight="1" x14ac:dyDescent="0.25">
      <c r="A47" s="23"/>
      <c r="B47" s="24"/>
      <c r="D47" s="40" t="s">
        <v>47</v>
      </c>
      <c r="E47" s="41"/>
      <c r="F47" s="40" t="s">
        <v>53</v>
      </c>
      <c r="G47" s="44"/>
      <c r="H47" s="44"/>
      <c r="I47" s="44"/>
      <c r="J47" s="64"/>
      <c r="K47" s="64"/>
      <c r="L47" s="44"/>
      <c r="M47" s="115"/>
      <c r="N47" s="115"/>
      <c r="O47" s="40" t="s">
        <v>54</v>
      </c>
      <c r="P47" s="44"/>
      <c r="Q47" s="64"/>
      <c r="R47" s="64"/>
      <c r="S47" s="44"/>
      <c r="T47" s="44"/>
      <c r="U47" s="44"/>
      <c r="V47" s="44"/>
      <c r="W47" s="44"/>
      <c r="X47" s="64"/>
      <c r="Y47" s="64"/>
      <c r="Z47" s="44"/>
      <c r="AA47" s="44"/>
      <c r="AB47" s="44"/>
      <c r="AC47" s="65"/>
      <c r="AD47" s="40" t="s">
        <v>50</v>
      </c>
      <c r="AE47" s="44"/>
      <c r="AF47" s="44"/>
      <c r="AG47" s="44"/>
      <c r="AH47" s="44"/>
      <c r="AI47" s="44"/>
      <c r="AJ47" s="44"/>
      <c r="AK47" s="44"/>
      <c r="AL47" s="44"/>
      <c r="AM47" s="44"/>
      <c r="AN47" s="48"/>
      <c r="AO47" s="48"/>
      <c r="AP47" s="48"/>
      <c r="AQ47" s="48"/>
      <c r="AR47" s="48"/>
      <c r="AS47" s="48"/>
      <c r="AT47" s="48"/>
      <c r="AU47" s="48"/>
      <c r="AV47" s="49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5"/>
    </row>
    <row r="48" spans="1:63" s="2" customFormat="1" ht="15" customHeight="1" x14ac:dyDescent="0.25">
      <c r="A48" s="212"/>
      <c r="B48" s="206"/>
      <c r="D48" s="222">
        <v>1</v>
      </c>
      <c r="E48" s="221"/>
      <c r="F48" s="220" t="s">
        <v>93</v>
      </c>
      <c r="G48" s="220"/>
      <c r="H48" s="220"/>
      <c r="I48" s="220"/>
      <c r="J48" s="214"/>
      <c r="K48" s="214"/>
      <c r="L48" s="220"/>
      <c r="M48" s="214"/>
      <c r="N48" s="214"/>
      <c r="O48" s="233" t="s">
        <v>119</v>
      </c>
      <c r="P48" s="178"/>
      <c r="Q48" s="178"/>
      <c r="R48" s="224"/>
      <c r="S48" s="229"/>
      <c r="T48" s="223"/>
      <c r="U48" s="223"/>
      <c r="V48" s="223"/>
      <c r="W48" s="223"/>
      <c r="X48" s="224"/>
      <c r="Y48" s="224"/>
      <c r="Z48" s="223"/>
      <c r="AA48" s="223"/>
      <c r="AB48" s="223"/>
      <c r="AC48" s="225"/>
      <c r="AD48" s="222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1"/>
      <c r="AW48" s="206"/>
      <c r="AX48" s="206"/>
      <c r="AY48" s="206"/>
      <c r="AZ48" s="206"/>
      <c r="BA48" s="206"/>
      <c r="BB48" s="206"/>
      <c r="BC48" s="206"/>
      <c r="BD48" s="206"/>
      <c r="BE48" s="206"/>
      <c r="BF48" s="206"/>
      <c r="BG48" s="206"/>
      <c r="BH48" s="206"/>
      <c r="BI48" s="206"/>
      <c r="BJ48" s="206"/>
      <c r="BK48" s="216"/>
    </row>
    <row r="49" spans="1:63" ht="15" customHeight="1" x14ac:dyDescent="0.25">
      <c r="A49" s="23"/>
      <c r="B49" s="24"/>
      <c r="D49" s="42">
        <v>2</v>
      </c>
      <c r="E49" s="43"/>
      <c r="F49" s="176" t="s">
        <v>100</v>
      </c>
      <c r="G49" s="176"/>
      <c r="H49" s="175"/>
      <c r="I49" s="47"/>
      <c r="J49" s="131"/>
      <c r="K49" s="131"/>
      <c r="L49" s="47"/>
      <c r="M49" s="131"/>
      <c r="N49" s="131"/>
      <c r="O49" s="203" t="s">
        <v>108</v>
      </c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5"/>
      <c r="AD49" s="42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3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5"/>
    </row>
    <row r="50" spans="1:63" ht="15" customHeight="1" x14ac:dyDescent="0.25">
      <c r="A50" s="23"/>
      <c r="B50" s="24"/>
      <c r="D50" s="42">
        <v>3</v>
      </c>
      <c r="E50" s="43"/>
      <c r="F50" s="176" t="s">
        <v>92</v>
      </c>
      <c r="G50" s="176"/>
      <c r="H50" s="175"/>
      <c r="I50" s="47"/>
      <c r="J50" s="131"/>
      <c r="K50" s="131"/>
      <c r="L50" s="47"/>
      <c r="M50" s="131"/>
      <c r="N50" s="131"/>
      <c r="O50" s="203" t="s">
        <v>132</v>
      </c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5"/>
      <c r="AD50" s="42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3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5"/>
    </row>
    <row r="51" spans="1:63" ht="15" customHeight="1" x14ac:dyDescent="0.25">
      <c r="A51" s="23"/>
      <c r="B51" s="24"/>
      <c r="D51" s="24"/>
      <c r="E51" s="206"/>
      <c r="F51" s="24"/>
      <c r="G51" s="24"/>
      <c r="H51" s="24"/>
      <c r="I51" s="206"/>
      <c r="J51" s="206"/>
      <c r="K51" s="206"/>
      <c r="L51" s="206"/>
      <c r="M51" s="2"/>
      <c r="N51" s="2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208"/>
      <c r="AV51" s="208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5"/>
    </row>
    <row r="52" spans="1:63" ht="15" customHeight="1" x14ac:dyDescent="0.25">
      <c r="A52" s="23"/>
      <c r="B52" s="24"/>
      <c r="C52" s="24"/>
      <c r="D52" s="197" t="s">
        <v>88</v>
      </c>
      <c r="E52" s="148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5"/>
    </row>
    <row r="53" spans="1:63" ht="15" customHeight="1" x14ac:dyDescent="0.25">
      <c r="A53" s="23"/>
      <c r="B53" s="24"/>
      <c r="C53" s="24"/>
      <c r="D53" s="40" t="s">
        <v>47</v>
      </c>
      <c r="E53" s="41"/>
      <c r="F53" s="40" t="s">
        <v>53</v>
      </c>
      <c r="G53" s="44"/>
      <c r="H53" s="44"/>
      <c r="I53" s="44"/>
      <c r="J53" s="64"/>
      <c r="K53" s="64"/>
      <c r="L53" s="44"/>
      <c r="M53" s="115"/>
      <c r="N53" s="115"/>
      <c r="O53" s="40" t="s">
        <v>54</v>
      </c>
      <c r="P53" s="44"/>
      <c r="Q53" s="64"/>
      <c r="R53" s="64"/>
      <c r="S53" s="44"/>
      <c r="T53" s="44"/>
      <c r="U53" s="44"/>
      <c r="V53" s="44"/>
      <c r="W53" s="44"/>
      <c r="X53" s="64"/>
      <c r="Y53" s="64"/>
      <c r="Z53" s="44"/>
      <c r="AA53" s="44"/>
      <c r="AB53" s="44"/>
      <c r="AC53" s="65"/>
      <c r="AD53" s="40" t="s">
        <v>50</v>
      </c>
      <c r="AE53" s="44"/>
      <c r="AF53" s="44"/>
      <c r="AG53" s="44"/>
      <c r="AH53" s="44"/>
      <c r="AI53" s="44"/>
      <c r="AJ53" s="44"/>
      <c r="AK53" s="44"/>
      <c r="AL53" s="44"/>
      <c r="AM53" s="44"/>
      <c r="AN53" s="48"/>
      <c r="AO53" s="48"/>
      <c r="AP53" s="48"/>
      <c r="AQ53" s="48"/>
      <c r="AR53" s="48"/>
      <c r="AS53" s="48"/>
      <c r="AT53" s="48"/>
      <c r="AU53" s="48"/>
      <c r="AV53" s="49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5"/>
    </row>
    <row r="54" spans="1:63" ht="15" customHeight="1" x14ac:dyDescent="0.25">
      <c r="A54" s="23"/>
      <c r="B54" s="24"/>
      <c r="C54" s="24"/>
      <c r="D54" s="222">
        <v>1</v>
      </c>
      <c r="E54" s="221"/>
      <c r="F54" s="220" t="s">
        <v>93</v>
      </c>
      <c r="G54" s="220"/>
      <c r="H54" s="220"/>
      <c r="I54" s="220"/>
      <c r="J54" s="214"/>
      <c r="K54" s="214"/>
      <c r="L54" s="220"/>
      <c r="M54" s="214"/>
      <c r="N54" s="214"/>
      <c r="O54" s="233" t="s">
        <v>120</v>
      </c>
      <c r="P54" s="178"/>
      <c r="Q54" s="178"/>
      <c r="R54" s="178"/>
      <c r="S54" s="229"/>
      <c r="T54" s="178"/>
      <c r="U54" s="223"/>
      <c r="V54" s="223"/>
      <c r="W54" s="223"/>
      <c r="X54" s="224"/>
      <c r="Y54" s="224"/>
      <c r="Z54" s="223"/>
      <c r="AA54" s="223"/>
      <c r="AB54" s="223"/>
      <c r="AC54" s="225"/>
      <c r="AD54" s="222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1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5"/>
    </row>
    <row r="55" spans="1:63" ht="15" customHeight="1" x14ac:dyDescent="0.25">
      <c r="A55" s="23"/>
      <c r="B55" s="24"/>
      <c r="C55" s="24"/>
      <c r="D55" s="42">
        <v>2</v>
      </c>
      <c r="E55" s="43"/>
      <c r="F55" s="176" t="s">
        <v>100</v>
      </c>
      <c r="G55" s="176"/>
      <c r="H55" s="175"/>
      <c r="I55" s="47"/>
      <c r="J55" s="131"/>
      <c r="K55" s="131"/>
      <c r="L55" s="47"/>
      <c r="M55" s="131"/>
      <c r="N55" s="131"/>
      <c r="O55" s="203" t="s">
        <v>108</v>
      </c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5"/>
      <c r="AD55" s="42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3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5"/>
    </row>
    <row r="56" spans="1:63" ht="15" customHeight="1" x14ac:dyDescent="0.25">
      <c r="A56" s="23"/>
      <c r="B56" s="24"/>
      <c r="C56" s="24"/>
      <c r="D56" s="42">
        <v>3</v>
      </c>
      <c r="E56" s="43"/>
      <c r="F56" s="176" t="s">
        <v>92</v>
      </c>
      <c r="G56" s="176"/>
      <c r="H56" s="175"/>
      <c r="I56" s="47"/>
      <c r="J56" s="131"/>
      <c r="K56" s="131"/>
      <c r="L56" s="47"/>
      <c r="M56" s="131"/>
      <c r="N56" s="131"/>
      <c r="O56" s="203" t="s">
        <v>133</v>
      </c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5"/>
      <c r="AD56" s="42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3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5"/>
    </row>
    <row r="57" spans="1:63" ht="15" customHeight="1" x14ac:dyDescent="0.25">
      <c r="A57" s="23"/>
      <c r="B57" s="24"/>
      <c r="C57" s="24"/>
      <c r="D57" s="148" t="s">
        <v>39</v>
      </c>
      <c r="E57" s="148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5"/>
    </row>
    <row r="58" spans="1:63" ht="15" customHeight="1" x14ac:dyDescent="0.25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8"/>
    </row>
  </sheetData>
  <mergeCells count="24">
    <mergeCell ref="K2:V3"/>
    <mergeCell ref="A2:J3"/>
    <mergeCell ref="A4:G4"/>
    <mergeCell ref="W1:AO3"/>
    <mergeCell ref="K1:V1"/>
    <mergeCell ref="A1:J1"/>
    <mergeCell ref="U4:Y4"/>
    <mergeCell ref="H4:T4"/>
    <mergeCell ref="X20:AM20"/>
    <mergeCell ref="H20:W20"/>
    <mergeCell ref="Y33:AN33"/>
    <mergeCell ref="I33:X33"/>
    <mergeCell ref="AP1:AS1"/>
    <mergeCell ref="AP2:AS3"/>
    <mergeCell ref="AP4:BK4"/>
    <mergeCell ref="Z4:AO4"/>
    <mergeCell ref="BH2:BK3"/>
    <mergeCell ref="BC2:BG3"/>
    <mergeCell ref="AY2:BB3"/>
    <mergeCell ref="AT2:AX3"/>
    <mergeCell ref="BH1:BK1"/>
    <mergeCell ref="BC1:BG1"/>
    <mergeCell ref="AY1:BB1"/>
    <mergeCell ref="AT1:AX1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BK27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 x14ac:dyDescent="0.25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 x14ac:dyDescent="0.25">
      <c r="A1" s="244" t="s">
        <v>25</v>
      </c>
      <c r="B1" s="245"/>
      <c r="C1" s="245"/>
      <c r="D1" s="245"/>
      <c r="E1" s="245"/>
      <c r="F1" s="245"/>
      <c r="G1" s="245"/>
      <c r="H1" s="245"/>
      <c r="I1" s="245"/>
      <c r="J1" s="246"/>
      <c r="K1" s="244" t="s">
        <v>26</v>
      </c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6"/>
      <c r="W1" s="247" t="str">
        <f>IF(Bìa!W1="","",Bìa!W1)</f>
        <v>TKCB</v>
      </c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9"/>
      <c r="AP1" s="244" t="s">
        <v>18</v>
      </c>
      <c r="AQ1" s="245"/>
      <c r="AR1" s="245"/>
      <c r="AS1" s="246"/>
      <c r="AT1" s="244" t="s">
        <v>19</v>
      </c>
      <c r="AU1" s="245"/>
      <c r="AV1" s="245"/>
      <c r="AW1" s="245"/>
      <c r="AX1" s="246"/>
      <c r="AY1" s="244" t="s">
        <v>20</v>
      </c>
      <c r="AZ1" s="245"/>
      <c r="BA1" s="245"/>
      <c r="BB1" s="246"/>
      <c r="BC1" s="244" t="s">
        <v>21</v>
      </c>
      <c r="BD1" s="245"/>
      <c r="BE1" s="245"/>
      <c r="BF1" s="245"/>
      <c r="BG1" s="246"/>
      <c r="BH1" s="244" t="s">
        <v>2</v>
      </c>
      <c r="BI1" s="245"/>
      <c r="BJ1" s="245"/>
      <c r="BK1" s="246"/>
    </row>
    <row r="2" spans="1:63" ht="15" customHeight="1" x14ac:dyDescent="0.25">
      <c r="A2" s="260" t="str">
        <f>IF(Bìa!A2="","",Bìa!A2)</f>
        <v>Manager User</v>
      </c>
      <c r="B2" s="239"/>
      <c r="C2" s="239"/>
      <c r="D2" s="239"/>
      <c r="E2" s="239"/>
      <c r="F2" s="239"/>
      <c r="G2" s="239"/>
      <c r="H2" s="239"/>
      <c r="I2" s="239"/>
      <c r="J2" s="240"/>
      <c r="K2" s="260" t="str">
        <f>IF(Bìa!K2="","",Bìa!K2)</f>
        <v>Thiết kế API</v>
      </c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40"/>
      <c r="W2" s="250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2"/>
      <c r="AP2" s="260" t="str">
        <f>IF(Bìa!AP2="","",Bìa!AP2)</f>
        <v>ThanhPD</v>
      </c>
      <c r="AQ2" s="239"/>
      <c r="AR2" s="239"/>
      <c r="AS2" s="240"/>
      <c r="AT2" s="261">
        <f>IF(Bìa!AT2="","",Bìa!AT2)</f>
        <v>44930</v>
      </c>
      <c r="AU2" s="262"/>
      <c r="AV2" s="262"/>
      <c r="AW2" s="262"/>
      <c r="AX2" s="263"/>
      <c r="AY2" s="260" t="str">
        <f>IF(Bìa!AY2="","",Bìa!AY2)</f>
        <v>ThanhPD</v>
      </c>
      <c r="AZ2" s="239"/>
      <c r="BA2" s="239"/>
      <c r="BB2" s="240"/>
      <c r="BC2" s="261">
        <f>IF(Bìa!BC2="","",Bìa!BC2)</f>
        <v>44930</v>
      </c>
      <c r="BD2" s="262"/>
      <c r="BE2" s="262"/>
      <c r="BF2" s="262"/>
      <c r="BG2" s="263"/>
      <c r="BH2" s="260">
        <f>IF(Bìa!BH2="","",Bìa!BH2)</f>
        <v>0.1</v>
      </c>
      <c r="BI2" s="239"/>
      <c r="BJ2" s="239"/>
      <c r="BK2" s="240"/>
    </row>
    <row r="3" spans="1:63" ht="15" customHeight="1" x14ac:dyDescent="0.25">
      <c r="A3" s="241"/>
      <c r="B3" s="242"/>
      <c r="C3" s="242"/>
      <c r="D3" s="242"/>
      <c r="E3" s="242"/>
      <c r="F3" s="242"/>
      <c r="G3" s="242"/>
      <c r="H3" s="242"/>
      <c r="I3" s="242"/>
      <c r="J3" s="243"/>
      <c r="K3" s="241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3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41"/>
      <c r="AQ3" s="242"/>
      <c r="AR3" s="242"/>
      <c r="AS3" s="243"/>
      <c r="AT3" s="264"/>
      <c r="AU3" s="265"/>
      <c r="AV3" s="265"/>
      <c r="AW3" s="265"/>
      <c r="AX3" s="266"/>
      <c r="AY3" s="241"/>
      <c r="AZ3" s="242"/>
      <c r="BA3" s="242"/>
      <c r="BB3" s="243"/>
      <c r="BC3" s="264"/>
      <c r="BD3" s="265"/>
      <c r="BE3" s="265"/>
      <c r="BF3" s="265"/>
      <c r="BG3" s="266"/>
      <c r="BH3" s="241"/>
      <c r="BI3" s="242"/>
      <c r="BJ3" s="242"/>
      <c r="BK3" s="243"/>
    </row>
    <row r="4" spans="1:63" ht="24.95" customHeight="1" x14ac:dyDescent="0.25">
      <c r="A4" s="244" t="s">
        <v>17</v>
      </c>
      <c r="B4" s="245"/>
      <c r="C4" s="245"/>
      <c r="D4" s="245"/>
      <c r="E4" s="245"/>
      <c r="F4" s="245"/>
      <c r="G4" s="246"/>
      <c r="H4" s="256" t="str">
        <f>IF(Bìa!H4="","",Bìa!H4)</f>
        <v/>
      </c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8"/>
      <c r="U4" s="244" t="s">
        <v>22</v>
      </c>
      <c r="V4" s="245"/>
      <c r="W4" s="245"/>
      <c r="X4" s="245"/>
      <c r="Y4" s="246"/>
      <c r="Z4" s="256" t="str">
        <f>IF(Bìa!Z4="","",Bìa!Z4)</f>
        <v>Delete employee</v>
      </c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7"/>
      <c r="AM4" s="257"/>
      <c r="AN4" s="257"/>
      <c r="AO4" s="258"/>
      <c r="AP4" s="259" t="s">
        <v>57</v>
      </c>
      <c r="AQ4" s="257"/>
      <c r="AR4" s="257"/>
      <c r="AS4" s="257"/>
      <c r="AT4" s="257"/>
      <c r="AU4" s="257"/>
      <c r="AV4" s="257"/>
      <c r="AW4" s="257"/>
      <c r="AX4" s="257"/>
      <c r="AY4" s="257"/>
      <c r="AZ4" s="257"/>
      <c r="BA4" s="257"/>
      <c r="BB4" s="257"/>
      <c r="BC4" s="257"/>
      <c r="BD4" s="257"/>
      <c r="BE4" s="257"/>
      <c r="BF4" s="257"/>
      <c r="BG4" s="257"/>
      <c r="BH4" s="257"/>
      <c r="BI4" s="257"/>
      <c r="BJ4" s="257"/>
      <c r="BK4" s="258"/>
    </row>
    <row r="5" spans="1:63" ht="5.0999999999999996" customHeight="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 x14ac:dyDescent="0.25">
      <c r="A6" s="23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 x14ac:dyDescent="0.25">
      <c r="A7" s="23"/>
      <c r="B7" s="128"/>
      <c r="C7" s="135" t="s">
        <v>58</v>
      </c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28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 x14ac:dyDescent="0.25">
      <c r="A8" s="23"/>
      <c r="B8" s="128"/>
      <c r="C8" s="135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28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 x14ac:dyDescent="0.25">
      <c r="A9" s="23"/>
      <c r="B9" s="128"/>
      <c r="C9" s="138"/>
      <c r="D9" s="512" t="s">
        <v>59</v>
      </c>
      <c r="E9" s="513"/>
      <c r="F9" s="512" t="s">
        <v>60</v>
      </c>
      <c r="G9" s="514"/>
      <c r="H9" s="514"/>
      <c r="I9" s="514"/>
      <c r="J9" s="514"/>
      <c r="K9" s="514"/>
      <c r="L9" s="515" t="s">
        <v>61</v>
      </c>
      <c r="M9" s="515"/>
      <c r="N9" s="515"/>
      <c r="O9" s="515"/>
      <c r="P9" s="515"/>
      <c r="Q9" s="515"/>
      <c r="R9" s="515"/>
      <c r="S9" s="515"/>
      <c r="T9" s="515"/>
      <c r="U9" s="515"/>
      <c r="V9" s="515"/>
      <c r="W9" s="515"/>
      <c r="X9" s="515"/>
      <c r="Y9" s="515"/>
      <c r="Z9" s="515"/>
      <c r="AA9" s="515"/>
      <c r="AB9" s="515"/>
      <c r="AC9" s="515"/>
      <c r="AD9" s="515"/>
      <c r="AE9" s="515"/>
      <c r="AF9" s="515"/>
      <c r="AG9" s="515"/>
      <c r="AH9" s="515"/>
      <c r="AI9" s="515"/>
      <c r="AJ9" s="515"/>
      <c r="AK9" s="515"/>
      <c r="AL9" s="515"/>
      <c r="AM9" s="515"/>
      <c r="AN9" s="515"/>
      <c r="AO9" s="515"/>
      <c r="AP9" s="515"/>
      <c r="AQ9" s="515"/>
      <c r="AR9" s="515"/>
      <c r="AS9" s="515"/>
      <c r="AT9" s="128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ht="15" customHeight="1" x14ac:dyDescent="0.25">
      <c r="A10" s="23"/>
      <c r="B10" s="128"/>
      <c r="C10" s="137"/>
      <c r="D10" s="516"/>
      <c r="E10" s="517"/>
      <c r="F10" s="518"/>
      <c r="G10" s="519"/>
      <c r="H10" s="519"/>
      <c r="I10" s="519"/>
      <c r="J10" s="519"/>
      <c r="K10" s="520"/>
      <c r="L10" s="521"/>
      <c r="M10" s="522"/>
      <c r="N10" s="522"/>
      <c r="O10" s="522"/>
      <c r="P10" s="522"/>
      <c r="Q10" s="522"/>
      <c r="R10" s="522"/>
      <c r="S10" s="522"/>
      <c r="T10" s="522"/>
      <c r="U10" s="522"/>
      <c r="V10" s="522"/>
      <c r="W10" s="522"/>
      <c r="X10" s="522"/>
      <c r="Y10" s="522"/>
      <c r="Z10" s="522"/>
      <c r="AA10" s="522"/>
      <c r="AB10" s="522"/>
      <c r="AC10" s="522"/>
      <c r="AD10" s="522"/>
      <c r="AE10" s="522"/>
      <c r="AF10" s="522"/>
      <c r="AG10" s="522"/>
      <c r="AH10" s="522"/>
      <c r="AI10" s="522"/>
      <c r="AJ10" s="522"/>
      <c r="AK10" s="522"/>
      <c r="AL10" s="522"/>
      <c r="AM10" s="522"/>
      <c r="AN10" s="522"/>
      <c r="AO10" s="522"/>
      <c r="AP10" s="522"/>
      <c r="AQ10" s="522"/>
      <c r="AR10" s="522"/>
      <c r="AS10" s="523"/>
      <c r="AT10" s="128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63" ht="15" customHeight="1" x14ac:dyDescent="0.25">
      <c r="A11" s="23"/>
      <c r="B11" s="128"/>
      <c r="C11" s="137"/>
      <c r="D11" s="504"/>
      <c r="E11" s="505"/>
      <c r="F11" s="506"/>
      <c r="G11" s="507"/>
      <c r="H11" s="507"/>
      <c r="I11" s="507"/>
      <c r="J11" s="507"/>
      <c r="K11" s="508"/>
      <c r="L11" s="509"/>
      <c r="M11" s="510"/>
      <c r="N11" s="510"/>
      <c r="O11" s="510"/>
      <c r="P11" s="510"/>
      <c r="Q11" s="510"/>
      <c r="R11" s="510"/>
      <c r="S11" s="510"/>
      <c r="T11" s="510"/>
      <c r="U11" s="510"/>
      <c r="V11" s="510"/>
      <c r="W11" s="510"/>
      <c r="X11" s="510"/>
      <c r="Y11" s="510"/>
      <c r="Z11" s="510"/>
      <c r="AA11" s="510"/>
      <c r="AB11" s="510"/>
      <c r="AC11" s="510"/>
      <c r="AD11" s="510"/>
      <c r="AE11" s="510"/>
      <c r="AF11" s="510"/>
      <c r="AG11" s="510"/>
      <c r="AH11" s="510"/>
      <c r="AI11" s="510"/>
      <c r="AJ11" s="510"/>
      <c r="AK11" s="510"/>
      <c r="AL11" s="510"/>
      <c r="AM11" s="510"/>
      <c r="AN11" s="510"/>
      <c r="AO11" s="510"/>
      <c r="AP11" s="510"/>
      <c r="AQ11" s="510"/>
      <c r="AR11" s="510"/>
      <c r="AS11" s="511"/>
      <c r="AT11" s="128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63" ht="15" customHeight="1" x14ac:dyDescent="0.25">
      <c r="A12" s="23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63" ht="15" customHeight="1" x14ac:dyDescent="0.25">
      <c r="A13" s="23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/>
    </row>
    <row r="14" spans="1:63" ht="15" customHeight="1" x14ac:dyDescent="0.25">
      <c r="A14" s="23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5"/>
    </row>
    <row r="15" spans="1:63" ht="15" customHeight="1" x14ac:dyDescent="0.25">
      <c r="A15" s="23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63" ht="15" customHeight="1" x14ac:dyDescent="0.25">
      <c r="A16" s="23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 x14ac:dyDescent="0.25">
      <c r="A17" s="23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</row>
    <row r="18" spans="1:63" ht="15" customHeight="1" x14ac:dyDescent="0.25">
      <c r="A18" s="23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3" ht="15" customHeight="1" x14ac:dyDescent="0.25">
      <c r="A19" s="23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3" ht="15" customHeight="1" x14ac:dyDescent="0.25">
      <c r="A20" s="23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3" ht="15" customHeight="1" x14ac:dyDescent="0.25">
      <c r="A21" s="23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3" ht="15" customHeight="1" x14ac:dyDescent="0.25">
      <c r="A22" s="23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3" ht="15" customHeight="1" x14ac:dyDescent="0.25">
      <c r="A23" s="23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3" ht="15" customHeight="1" x14ac:dyDescent="0.25">
      <c r="A24" s="23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3" ht="15" customHeight="1" x14ac:dyDescent="0.25">
      <c r="A25" s="23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5"/>
    </row>
    <row r="26" spans="1:63" ht="15" customHeight="1" x14ac:dyDescent="0.25">
      <c r="A26" s="23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5"/>
    </row>
    <row r="27" spans="1:63" ht="15" customHeight="1" x14ac:dyDescent="0.2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8"/>
    </row>
  </sheetData>
  <mergeCells count="29">
    <mergeCell ref="D11:E11"/>
    <mergeCell ref="F11:K11"/>
    <mergeCell ref="L11:AS11"/>
    <mergeCell ref="D9:E9"/>
    <mergeCell ref="F9:K9"/>
    <mergeCell ref="L9:AS9"/>
    <mergeCell ref="D10:E10"/>
    <mergeCell ref="F10:K10"/>
    <mergeCell ref="L10:AS10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5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Bìa</vt:lpstr>
      <vt:lpstr>Lịch sử thay đổi</vt:lpstr>
      <vt:lpstr>Khái quát</vt:lpstr>
      <vt:lpstr>Flow xử lý</vt:lpstr>
      <vt:lpstr>Chi tiết xử lý</vt:lpstr>
      <vt:lpstr>Tham chiếu</vt:lpstr>
      <vt:lpstr>Bìa!Print_Area</vt:lpstr>
      <vt:lpstr>'Chi tiết xử lý'!Print_Area</vt:lpstr>
      <vt:lpstr>'Flow xử lý'!Print_Area</vt:lpstr>
      <vt:lpstr>'Khái quát'!Print_Area</vt:lpstr>
      <vt:lpstr>'Lịch sử thay đổi'!Print_Area</vt:lpstr>
      <vt:lpstr>'Tham chiếu'!Print_Area</vt:lpstr>
      <vt:lpstr>Bìa!Print_Titles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Viet Hung</dc:creator>
  <cp:keywords/>
  <dc:description/>
  <cp:lastModifiedBy>Nguyen Thi Mai Huong</cp:lastModifiedBy>
  <cp:lastPrinted>2019-10-22T18:12:02Z</cp:lastPrinted>
  <dcterms:created xsi:type="dcterms:W3CDTF">2018-06-27T16:17:55Z</dcterms:created>
  <dcterms:modified xsi:type="dcterms:W3CDTF">2025-03-21T04:08:29Z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eadcb6dd-8d16-4e7e-8371-f45e70dab206</vt:lpwstr>
  </property>
</Properties>
</file>