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D\70_member\ThuyLNT\LA_Design\TKAPI\"/>
    </mc:Choice>
  </mc:AlternateContent>
  <xr:revisionPtr revIDLastSave="0" documentId="13_ncr:1_{55E0EF17-ECB4-448A-9222-DD80CB7C7335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Bìa" sheetId="6" r:id="rId1"/>
    <sheet name="Lịch sử thay đổi" sheetId="3" r:id="rId2"/>
    <sheet name="Khái quát" sheetId="1" r:id="rId3"/>
    <sheet name="Flow xử lý" sheetId="4" r:id="rId4"/>
    <sheet name="Chi tiết xử lý" sheetId="2" r:id="rId5"/>
    <sheet name="Tham chiếu" sheetId="7" r:id="rId6"/>
  </sheets>
  <definedNames>
    <definedName name="_xlnm.Print_Area" localSheetId="0">Bìa!$A$1:$BK$56</definedName>
    <definedName name="_xlnm.Print_Area" localSheetId="4">'Chi tiết xử lý'!$A$1:$BK$104</definedName>
    <definedName name="_xlnm.Print_Area" localSheetId="3">'Flow xử lý'!$A$1:$BK$50</definedName>
    <definedName name="_xlnm.Print_Area" localSheetId="2">'Khái quát'!$A$1:$BK$92</definedName>
    <definedName name="_xlnm.Print_Area" localSheetId="1">'Lịch sử thay đổi'!$A$1:$BK$63</definedName>
    <definedName name="_xlnm.Print_Area" localSheetId="5">'Tham chiếu'!$A$1:$BK$27</definedName>
    <definedName name="_xlnm.Print_Titles" localSheetId="0">Bìa!$1:$5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2" i="1" l="1"/>
  <c r="C33" i="1"/>
  <c r="C35" i="1"/>
  <c r="C36" i="1"/>
  <c r="C37" i="1"/>
  <c r="C38" i="1"/>
  <c r="C39" i="1"/>
  <c r="C40" i="1"/>
  <c r="C41" i="1"/>
  <c r="C42" i="1"/>
  <c r="C43" i="1"/>
  <c r="C44" i="1"/>
  <c r="C30" i="1"/>
  <c r="C31" i="1"/>
  <c r="BH2" i="6" l="1"/>
  <c r="BC2" i="6"/>
  <c r="AY2" i="6"/>
  <c r="Z4" i="7" l="1"/>
  <c r="H4" i="7"/>
  <c r="BH2" i="7"/>
  <c r="BC2" i="7"/>
  <c r="AY2" i="7"/>
  <c r="AT2" i="7"/>
  <c r="AP2" i="7"/>
  <c r="K2" i="7"/>
  <c r="A2" i="7"/>
  <c r="W1" i="7"/>
  <c r="H4" i="2" l="1"/>
  <c r="Z4" i="2" l="1"/>
  <c r="BH2" i="2"/>
  <c r="BC2" i="2"/>
  <c r="AY2" i="2"/>
  <c r="AT2" i="2"/>
  <c r="AP2" i="2"/>
  <c r="K2" i="2"/>
  <c r="A2" i="2"/>
  <c r="W1" i="2"/>
  <c r="Z4" i="4"/>
  <c r="H4" i="4"/>
  <c r="BH2" i="4"/>
  <c r="BC2" i="4"/>
  <c r="AY2" i="4"/>
  <c r="AT2" i="4"/>
  <c r="AP2" i="4"/>
  <c r="K2" i="4"/>
  <c r="A2" i="4"/>
  <c r="W1" i="4"/>
  <c r="Z4" i="1"/>
  <c r="W14" i="1" s="1"/>
  <c r="BH2" i="1"/>
  <c r="BC2" i="1"/>
  <c r="AY2" i="1"/>
  <c r="AT2" i="1"/>
  <c r="AP2" i="1"/>
  <c r="K2" i="1"/>
  <c r="A2" i="1"/>
  <c r="W1" i="1"/>
  <c r="Z4" i="3"/>
  <c r="H4" i="3"/>
  <c r="BH2" i="3"/>
  <c r="BC2" i="3"/>
  <c r="AY2" i="3"/>
  <c r="AT2" i="3"/>
  <c r="AP2" i="3"/>
  <c r="K2" i="3"/>
  <c r="A2" i="3"/>
  <c r="W1" i="3"/>
  <c r="L24" i="6"/>
</calcChain>
</file>

<file path=xl/sharedStrings.xml><?xml version="1.0" encoding="utf-8"?>
<sst xmlns="http://schemas.openxmlformats.org/spreadsheetml/2006/main" count="377" uniqueCount="206">
  <si>
    <r>
      <rPr>
        <b/>
        <sz val="11"/>
        <color rgb="FFFFFFFF"/>
        <rFont val="メイリオ"/>
        <family val="3"/>
      </rPr>
      <t>Date</t>
    </r>
  </si>
  <si>
    <r>
      <rPr>
        <b/>
        <sz val="11"/>
        <color rgb="FFFFFFFF"/>
        <rFont val="メイリオ"/>
        <family val="3"/>
      </rPr>
      <t>Người update</t>
    </r>
  </si>
  <si>
    <r>
      <rPr>
        <sz val="11"/>
        <color rgb="FFFFFFFF"/>
        <rFont val="Meiryo UI"/>
        <family val="3"/>
      </rPr>
      <t>Version</t>
    </r>
  </si>
  <si>
    <r>
      <rPr>
        <sz val="11"/>
        <color rgb="FF000000"/>
        <rFont val="Meiryo UI"/>
        <family val="3"/>
      </rPr>
      <t>Lịch sử thay đổi</t>
    </r>
  </si>
  <si>
    <r>
      <rPr>
        <sz val="11"/>
        <color rgb="FF000000"/>
        <rFont val="Meiryo UI"/>
        <family val="3"/>
      </rPr>
      <t>■Lịch sử thay đổi</t>
    </r>
  </si>
  <si>
    <r>
      <rPr>
        <b/>
        <sz val="11"/>
        <color rgb="FFFFFFFF"/>
        <rFont val="メイリオ"/>
        <family val="3"/>
      </rPr>
      <t>Version</t>
    </r>
  </si>
  <si>
    <r>
      <rPr>
        <b/>
        <sz val="11"/>
        <color rgb="FFFFFFFF"/>
        <rFont val="メイリオ"/>
        <family val="3"/>
      </rPr>
      <t>Nội dung thay đổi</t>
    </r>
  </si>
  <si>
    <r>
      <rPr>
        <b/>
        <sz val="11"/>
        <color rgb="FF000000"/>
        <rFont val="Meiryo UI"/>
        <family val="3"/>
      </rPr>
      <t>1.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Khái quát</t>
    </r>
  </si>
  <si>
    <r>
      <rPr>
        <b/>
        <sz val="11"/>
        <color rgb="FF000000"/>
        <rFont val="Meiryo UI"/>
        <family val="3"/>
      </rPr>
      <t>Request URL</t>
    </r>
  </si>
  <si>
    <r>
      <rPr>
        <b/>
        <sz val="11"/>
        <color rgb="FF000000"/>
        <rFont val="Meiryo UI"/>
        <family val="3"/>
      </rPr>
      <t>Method HTTP</t>
    </r>
  </si>
  <si>
    <r>
      <rPr>
        <b/>
        <sz val="11"/>
        <color rgb="FF000000"/>
        <rFont val="Meiryo UI"/>
        <family val="3"/>
      </rPr>
      <t>Request Parameter</t>
    </r>
  </si>
  <si>
    <r>
      <rPr>
        <b/>
        <sz val="11"/>
        <color rgb="FF000000"/>
        <rFont val="Meiryo UI"/>
        <family val="3"/>
      </rPr>
      <t xml:space="preserve">Parameter </t>
    </r>
  </si>
  <si>
    <r>
      <rPr>
        <b/>
        <sz val="11"/>
        <color rgb="FF000000"/>
        <rFont val="Meiryo UI"/>
        <family val="3"/>
      </rPr>
      <t>Bắt buộc</t>
    </r>
  </si>
  <si>
    <r>
      <rPr>
        <b/>
        <sz val="11"/>
        <color rgb="FF000000"/>
        <rFont val="Meiryo UI"/>
        <family val="3"/>
      </rPr>
      <t>Giá trị default</t>
    </r>
  </si>
  <si>
    <r>
      <rPr>
        <b/>
        <sz val="11"/>
        <color rgb="FF000000"/>
        <rFont val="Meiryo UI"/>
        <family val="3"/>
      </rPr>
      <t>3.</t>
    </r>
    <r>
      <rPr>
        <b/>
        <sz val="11"/>
        <color rgb="FF000000"/>
        <rFont val="Meiryo UI"/>
        <family val="3"/>
      </rPr>
      <t xml:space="preserve"> </t>
    </r>
    <r>
      <rPr>
        <b/>
        <sz val="11"/>
        <color rgb="FF000000"/>
        <rFont val="Meiryo UI"/>
        <family val="3"/>
      </rPr>
      <t>Response</t>
    </r>
  </si>
  <si>
    <r>
      <rPr>
        <sz val="11"/>
        <color rgb="FF000000"/>
        <rFont val="Meiryo UI"/>
        <family val="3"/>
      </rPr>
      <t>Khái quát</t>
    </r>
  </si>
  <si>
    <r>
      <rPr>
        <sz val="11"/>
        <color rgb="FF000000"/>
        <rFont val="Meiryo UI"/>
        <family val="3"/>
      </rPr>
      <t>Flow xử lý</t>
    </r>
  </si>
  <si>
    <r>
      <rPr>
        <sz val="11"/>
        <color rgb="FFFFFFFF"/>
        <rFont val="Meiryo UI"/>
        <family val="3"/>
      </rPr>
      <t>Category chức năng</t>
    </r>
  </si>
  <si>
    <r>
      <rPr>
        <sz val="11"/>
        <color rgb="FFFFFFFF"/>
        <rFont val="Meiryo UI"/>
        <family val="3"/>
      </rPr>
      <t>Người tạo</t>
    </r>
  </si>
  <si>
    <r>
      <rPr>
        <sz val="11"/>
        <color rgb="FFFFFFFF"/>
        <rFont val="Meiryo UI"/>
        <family val="3"/>
      </rPr>
      <t>Ngày tạo</t>
    </r>
  </si>
  <si>
    <r>
      <rPr>
        <sz val="11"/>
        <color rgb="FFFFFFFF"/>
        <rFont val="Meiryo UI"/>
        <family val="3"/>
      </rPr>
      <t>Người update</t>
    </r>
  </si>
  <si>
    <r>
      <rPr>
        <sz val="11"/>
        <color rgb="FFFFFFFF"/>
        <rFont val="Meiryo UI"/>
        <family val="3"/>
      </rPr>
      <t>Ngày update</t>
    </r>
  </si>
  <si>
    <r>
      <rPr>
        <sz val="11"/>
        <color rgb="FFFFFFFF"/>
        <rFont val="Meiryo UI"/>
        <family val="3"/>
      </rPr>
      <t>Hạng mục</t>
    </r>
  </si>
  <si>
    <r>
      <rPr>
        <sz val="11"/>
        <color rgb="FF000000"/>
        <rFont val="Meiryo UI"/>
        <family val="3"/>
      </rPr>
      <t>Bìa</t>
    </r>
  </si>
  <si>
    <r>
      <rPr>
        <sz val="18"/>
        <color rgb="FF000000"/>
        <rFont val="Meiryo UI"/>
        <family val="3"/>
      </rPr>
      <t>TKCB</t>
    </r>
  </si>
  <si>
    <r>
      <rPr>
        <sz val="11"/>
        <color rgb="FFFFFFFF"/>
        <rFont val="Meiryo UI"/>
        <family val="3"/>
      </rPr>
      <t>Tên system</t>
    </r>
  </si>
  <si>
    <r>
      <rPr>
        <sz val="11"/>
        <color rgb="FFFFFFFF"/>
        <rFont val="Meiryo UI"/>
        <family val="3"/>
      </rPr>
      <t>Loại system</t>
    </r>
  </si>
  <si>
    <r>
      <rPr>
        <b/>
        <sz val="11"/>
        <color rgb="FF000000"/>
        <rFont val="Meiryo UI"/>
        <family val="3"/>
      </rPr>
      <t>No.</t>
    </r>
    <r>
      <rPr>
        <b/>
        <sz val="11"/>
        <color rgb="FF000000"/>
        <rFont val="Meiryo UI"/>
        <family val="3"/>
      </rPr>
      <t xml:space="preserve"> </t>
    </r>
  </si>
  <si>
    <r>
      <rPr>
        <b/>
        <sz val="11"/>
        <color rgb="FF000000"/>
        <rFont val="Meiryo UI"/>
        <family val="3"/>
      </rPr>
      <t>Note</t>
    </r>
  </si>
  <si>
    <r>
      <rPr>
        <b/>
        <sz val="11"/>
        <color rgb="FF000000"/>
        <rFont val="Meiryo UI"/>
        <family val="3"/>
      </rPr>
      <t>Kiểu</t>
    </r>
  </si>
  <si>
    <r>
      <rPr>
        <b/>
        <sz val="11"/>
        <color rgb="FF000000"/>
        <rFont val="Meiryo UI"/>
        <family val="3"/>
      </rPr>
      <t>Tên hạng mục</t>
    </r>
  </si>
  <si>
    <t>Tạo mới tài liệu</t>
    <phoneticPr fontId="20"/>
  </si>
  <si>
    <t>2. Request</t>
    <phoneticPr fontId="20"/>
  </si>
  <si>
    <t>json key name</t>
    <phoneticPr fontId="20"/>
  </si>
  <si>
    <t>array</t>
    <phoneticPr fontId="20"/>
  </si>
  <si>
    <t>number</t>
    <phoneticPr fontId="20"/>
  </si>
  <si>
    <t>{}</t>
    <phoneticPr fontId="20"/>
  </si>
  <si>
    <t>number</t>
  </si>
  <si>
    <t>Service</t>
  </si>
  <si>
    <t>API name</t>
  </si>
  <si>
    <t>string</t>
    <phoneticPr fontId="20"/>
  </si>
  <si>
    <t xml:space="preserve"> - Kết thúc xử lý</t>
    <phoneticPr fontId="20"/>
  </si>
  <si>
    <t>Ngày phê chuẩn</t>
  </si>
  <si>
    <t>Người phê chuẩn</t>
  </si>
  <si>
    <t>Version</t>
  </si>
  <si>
    <t xml:space="preserve">                                                                                      </t>
  </si>
  <si>
    <t>departmentName</t>
  </si>
  <si>
    <t xml:space="preserve">{                                                                                     </t>
  </si>
  <si>
    <t xml:space="preserve">      {                                                                                     </t>
  </si>
  <si>
    <t xml:space="preserve">      },                                                                                      </t>
  </si>
  <si>
    <t xml:space="preserve">}                                                                                     </t>
  </si>
  <si>
    <t>※Sample</t>
  </si>
  <si>
    <t xml:space="preserve">No. </t>
  </si>
  <si>
    <t>Kiểu</t>
  </si>
  <si>
    <t>Tên hạng mục</t>
  </si>
  <si>
    <t>Note</t>
  </si>
  <si>
    <t>&lt;Không có&gt;</t>
  </si>
  <si>
    <t>1. Validate prameter</t>
  </si>
  <si>
    <t>-</t>
  </si>
  <si>
    <t>Key</t>
  </si>
  <si>
    <t>Giá trị</t>
  </si>
  <si>
    <t>departments</t>
  </si>
  <si>
    <t>Xử lý common:</t>
  </si>
  <si>
    <t>Xử lý chi tiết:</t>
  </si>
  <si>
    <t>department_id</t>
  </si>
  <si>
    <t>Tham chiếu</t>
  </si>
  <si>
    <t>Danh sách tài liệu tham chiếu</t>
  </si>
  <si>
    <t>No.</t>
  </si>
  <si>
    <t>Mã tham chiếu</t>
  </si>
  <si>
    <t>Tài liệu tham chiếu</t>
  </si>
  <si>
    <t>■Danh sách bảng sử dụng</t>
  </si>
  <si>
    <t>No</t>
  </si>
  <si>
    <t>Tên bảng logic</t>
  </si>
  <si>
    <t>ID bảng vật lý</t>
  </si>
  <si>
    <t>Create</t>
  </si>
  <si>
    <t>Refer</t>
  </si>
  <si>
    <t>Update</t>
  </si>
  <si>
    <t>Xóa</t>
  </si>
  <si>
    <t>〇</t>
  </si>
  <si>
    <t>■Table access</t>
  </si>
  <si>
    <t>Tên bảng</t>
  </si>
  <si>
    <t>Alias</t>
  </si>
  <si>
    <t>Tên trường</t>
  </si>
  <si>
    <t>department_name</t>
  </si>
  <si>
    <t>Điều kiện liên kết</t>
  </si>
  <si>
    <t>Thông tin bộ phận</t>
    <phoneticPr fontId="19"/>
  </si>
  <si>
    <t>①</t>
  </si>
  <si>
    <t>②</t>
  </si>
  <si>
    <t>Điều kiện kết hợp</t>
    <phoneticPr fontId="19"/>
  </si>
  <si>
    <t>Tên bảng / Alias</t>
  </si>
  <si>
    <t>- Trường hợp get data hiển thị màn hình</t>
  </si>
  <si>
    <t>Manager User</t>
  </si>
  <si>
    <t>ThanhPD</t>
  </si>
  <si>
    <t>date</t>
  </si>
  <si>
    <t>decimal</t>
  </si>
  <si>
    <t>Trường hợp api trả về lỗi</t>
  </si>
  <si>
    <t>Trường hợp api trả về response bình thường</t>
  </si>
  <si>
    <t>Nội dung lỗi</t>
  </si>
  <si>
    <t>- Lấy thông tin phòng ban</t>
  </si>
  <si>
    <t>INNER JOIN</t>
  </si>
  <si>
    <t>Lấy giá trị từ No 2</t>
  </si>
  <si>
    <t>Tên system</t>
  </si>
  <si>
    <t>Loại system</t>
  </si>
  <si>
    <t>Người tạo</t>
  </si>
  <si>
    <t>Ngày tạo</t>
  </si>
  <si>
    <t>Người update</t>
  </si>
  <si>
    <t>Ngày update</t>
  </si>
  <si>
    <t>Category chức năng</t>
  </si>
  <si>
    <t>Hạng mục</t>
  </si>
  <si>
    <t>Chi tiết xử lý</t>
  </si>
  <si>
    <r>
      <t>Ha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ng mu</t>
    </r>
    <r>
      <rPr>
        <sz val="11"/>
        <color theme="1"/>
        <rFont val="Arial"/>
        <family val="2"/>
      </rPr>
      <t>̣</t>
    </r>
    <r>
      <rPr>
        <sz val="11"/>
        <color theme="1"/>
        <rFont val="Meiryo UI"/>
        <family val="3"/>
        <charset val="128"/>
      </rPr>
      <t>c lấy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</si>
  <si>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không có lỗi xảy ra:</t>
    </r>
  </si>
  <si>
    <r>
      <t xml:space="preserve"> - Tr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hợp có lỗi xảy ra</t>
    </r>
  </si>
  <si>
    <t>GET</t>
  </si>
  <si>
    <t>o</t>
  </si>
  <si>
    <t xml:space="preserve">    "departmentName": "Phòng DEVN",                                                                                      </t>
  </si>
  <si>
    <t xml:space="preserve">      }                                                                                      </t>
  </si>
  <si>
    <t>③</t>
  </si>
  <si>
    <t>Sort</t>
  </si>
  <si>
    <t>Tên hạng mục</t>
  </si>
  <si>
    <t>Sort order</t>
  </si>
  <si>
    <t>ASC</t>
  </si>
  <si>
    <t>Lấy giá trị từ No 3</t>
  </si>
  <si>
    <t>2.1 Get nhân viên từ database</t>
  </si>
  <si>
    <t>departmentId</t>
  </si>
  <si>
    <t xml:space="preserve">    "departmentId": "1",                                                                                      </t>
  </si>
  <si>
    <t>WHERE</t>
  </si>
  <si>
    <r>
      <t>4.</t>
    </r>
    <r>
      <rPr>
        <b/>
        <sz val="11"/>
        <color theme="1"/>
        <rFont val="Meiryo UI"/>
        <family val="3"/>
        <charset val="128"/>
      </rPr>
      <t xml:space="preserve"> Tạo dữ liệu response cho API</t>
    </r>
  </si>
  <si>
    <t>Get employee</t>
  </si>
  <si>
    <t>Lấy thông tin chi tiết nhân viên</t>
  </si>
  <si>
    <t>employee</t>
  </si>
  <si>
    <t>employeeId</t>
  </si>
  <si>
    <t>id của employee cần lấy thông tin</t>
  </si>
  <si>
    <t>/employee/1</t>
  </si>
  <si>
    <t>employeeName</t>
  </si>
  <si>
    <t>employeeBirthDate</t>
  </si>
  <si>
    <t>employeeEmail</t>
  </si>
  <si>
    <t>employeeTelephone</t>
  </si>
  <si>
    <t>employeeNameKana</t>
  </si>
  <si>
    <t>employeeLoginId</t>
  </si>
  <si>
    <t xml:space="preserve">    "employeeId": "1",                                                                                      </t>
  </si>
  <si>
    <t xml:space="preserve">    "employeeName": "Nguyễn Văn A",                                                                                      </t>
  </si>
  <si>
    <t xml:space="preserve">    "employeeBirthDate": "1983/01/02",                                                                                      </t>
  </si>
  <si>
    <t xml:space="preserve">    "employeeEmail": "nguyenvana@luvina.net",                                                                                      </t>
  </si>
  <si>
    <t xml:space="preserve">    "employeeTelephone": "01234567",                                                                                      </t>
  </si>
  <si>
    <t xml:space="preserve">    "employeeNameKana": "名カナ",                                                                                      </t>
  </si>
  <si>
    <t xml:space="preserve">    "employeeLoginId": "nguyenvana",                                                                                      </t>
  </si>
  <si>
    <t>Mảng chứa thông tin chứng chỉ tiếng Nhật</t>
  </si>
  <si>
    <t>certifications</t>
  </si>
  <si>
    <t>certificationId</t>
  </si>
  <si>
    <t>certificationName</t>
  </si>
  <si>
    <t xml:space="preserve">    "certifications": [                                                                                      </t>
  </si>
  <si>
    <t xml:space="preserve">        "certificationId": "1",                                                                                     </t>
  </si>
  <si>
    <t xml:space="preserve">        "certificationId": "2",                                                                                     </t>
  </si>
  <si>
    <t>2. Get thông tin chi tiết nhân viên</t>
  </si>
  <si>
    <t>Thông tin nhân viên</t>
  </si>
  <si>
    <t>3. Get thông tin chứng chỉ tiếng Nhật của nhân viên</t>
  </si>
  <si>
    <t>3.1 Get danh sách chứng chỉ tiếng Nhật của nhân viên từ database</t>
  </si>
  <si>
    <t>Thông tin chứng chỉ tiếng Nhật</t>
  </si>
  <si>
    <t>Thông tin nhân viên chứng chỉ tiếng Nhật</t>
  </si>
  <si>
    <t>- Lấy thông tin chứng chỉ tiếng Nhật</t>
  </si>
  <si>
    <t>1.1 Validate parameter [employeeId]</t>
  </si>
  <si>
    <t>employees</t>
  </si>
  <si>
    <t>employee_id</t>
  </si>
  <si>
    <t xml:space="preserve"> = employee_id từ parameter [employeeId]</t>
  </si>
  <si>
    <t>employees_certifications</t>
  </si>
  <si>
    <t>certification_id</t>
  </si>
  <si>
    <t>certification_level</t>
  </si>
  <si>
    <t>code</t>
  </si>
  <si>
    <t xml:space="preserve">    "code": "200"                                                                     </t>
  </si>
  <si>
    <t xml:space="preserve">    "code": "500"                                                                     </t>
  </si>
  <si>
    <t>startDate</t>
  </si>
  <si>
    <t>endDate</t>
  </si>
  <si>
    <t>score</t>
  </si>
  <si>
    <t>200</t>
  </si>
  <si>
    <t>500</t>
  </si>
  <si>
    <t>message</t>
  </si>
  <si>
    <t>④</t>
  </si>
  <si>
    <t xml:space="preserve">        "startDate": "2023/01/01",                                                                                      </t>
  </si>
  <si>
    <t xml:space="preserve">        "endDate": "2024/01/01",                                                                                      </t>
  </si>
  <si>
    <t xml:space="preserve">        "startDate": "2023/02/01",                                                                                      </t>
  </si>
  <si>
    <t xml:space="preserve">        "endDate": "2024/02/01",                                                                                      </t>
  </si>
  <si>
    <t xml:space="preserve">        "certificationName": "chứng chỉ tiếng Nhật cấp 1",                                                                                     </t>
  </si>
  <si>
    <t xml:space="preserve">        "certificationName": "chứng chỉ tiếng Nhật cấp 2",                                                                                     </t>
  </si>
  <si>
    <t xml:space="preserve">        "score": "180"                                                                                      </t>
  </si>
  <si>
    <t xml:space="preserve">        "score": "90"                                                                                      </t>
  </si>
  <si>
    <t>employee_name</t>
  </si>
  <si>
    <t>employee_birth_date</t>
  </si>
  <si>
    <t>employee_email</t>
  </si>
  <si>
    <t>employee_telephone</t>
  </si>
  <si>
    <t>employee_name_kana</t>
  </si>
  <si>
    <t>employee_login_id</t>
  </si>
  <si>
    <t>certification_name</t>
  </si>
  <si>
    <t>start_date</t>
  </si>
  <si>
    <t>end_date</t>
  </si>
  <si>
    <t xml:space="preserve">Nếu ko tồn tại parameter này thì trả về lỗi có mã code ER001, tham số "ＩＤ" </t>
  </si>
  <si>
    <t xml:space="preserve">Nếu không tồn tại trong bảng employees.employee_id thì trả về lỗi có mã code ER013, tham số "ＩＤ" </t>
  </si>
  <si>
    <t>Nếu có lỗi thì chuyển sang bước  [4. Tạo dữ liệu response cho API]</t>
  </si>
  <si>
    <t xml:space="preserve">    "message":  {                                             </t>
  </si>
  <si>
    <t xml:space="preserve">    "params": []         </t>
  </si>
  <si>
    <t>}</t>
  </si>
  <si>
    <t>object</t>
  </si>
  <si>
    <t xml:space="preserve">    ]                                                                        </t>
  </si>
  <si>
    <t>Lấy giá trị từ No 1 . Format {code: "", params: []}</t>
  </si>
  <si>
    <t xml:space="preserve">    "code": "ER013"           </t>
  </si>
  <si>
    <t>Thiết kế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</si>
</sst>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_);[Red]\(&quot;¥&quot;#,##0\)"/>
    <numFmt numFmtId="165" formatCode="&quot;¥&quot;#,##0.00_);[Red]\(&quot;¥&quot;#,##0.00\)"/>
    <numFmt numFmtId="166" formatCode="yyyy&quot;年&quot;m&quot;月&quot;d&quot;日&quot;;@"/>
    <numFmt numFmtId="167" formatCode="yyyy/mm/dd;@"/>
    <numFmt numFmtId="168" formatCode="0.0_);[Red]\(0.0\)"/>
  </numFmts>
  <fonts count="65">
    <font>
      <sz val="11"/>
      <name val="Meiryo UI"/>
      <family val="3"/>
    </font>
    <font>
      <sz val="10"/>
      <name val="Arial"/>
      <family val="2"/>
    </font>
    <font>
      <sz val="11"/>
      <color theme="1"/>
      <name val="ＭＳ Ｐゴシック"/>
      <family val="3"/>
    </font>
    <font>
      <sz val="11"/>
      <name val="ＭＳ Ｐゴシック"/>
      <family val="3"/>
    </font>
    <font>
      <sz val="13"/>
      <color theme="1"/>
      <name val="ＭＳ Ｐゴシック"/>
      <family val="3"/>
    </font>
    <font>
      <sz val="10"/>
      <color theme="1"/>
      <name val="ＭＳ Ｐゴシック"/>
      <family val="3"/>
    </font>
    <font>
      <sz val="10"/>
      <color rgb="FFC00000"/>
      <name val="ＭＳ Ｐゴシック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8"/>
      <name val="Meiryo UI"/>
      <family val="3"/>
    </font>
    <font>
      <b/>
      <sz val="11"/>
      <color theme="1"/>
      <name val="Meiryo UI"/>
      <family val="3"/>
    </font>
    <font>
      <b/>
      <sz val="11"/>
      <color rgb="FF000000"/>
      <name val="Meiryo UI"/>
      <family val="3"/>
    </font>
    <font>
      <sz val="11"/>
      <color rgb="FF000000"/>
      <name val="Meiryo UI"/>
      <family val="3"/>
    </font>
    <font>
      <b/>
      <sz val="11"/>
      <color rgb="FFFFFFFF"/>
      <name val="メイリオ"/>
      <family val="3"/>
    </font>
    <font>
      <b/>
      <sz val="11"/>
      <color indexed="9"/>
      <name val="メイリオ"/>
      <family val="3"/>
    </font>
    <font>
      <sz val="11"/>
      <name val="メイリオ"/>
      <family val="3"/>
    </font>
    <font>
      <b/>
      <sz val="24"/>
      <name val="Meiryo UI"/>
      <family val="3"/>
    </font>
    <font>
      <sz val="11"/>
      <color rgb="FFFFFFFF"/>
      <name val="Meiryo UI"/>
      <family val="3"/>
    </font>
    <font>
      <sz val="18"/>
      <color rgb="FF000000"/>
      <name val="Meiryo UI"/>
      <family val="3"/>
    </font>
    <font>
      <b/>
      <sz val="24"/>
      <color rgb="FF000000"/>
      <name val="Meiryo UI"/>
      <family val="3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Meiryo UI"/>
      <family val="3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rgb="FFFF0000"/>
      <name val="ＭＳ Ｐゴシック"/>
      <family val="3"/>
    </font>
    <font>
      <sz val="11"/>
      <color rgb="FF0000FF"/>
      <name val="Meiryo UI"/>
      <family val="3"/>
    </font>
    <font>
      <b/>
      <sz val="11"/>
      <name val="Meiryo UI"/>
      <family val="3"/>
    </font>
    <font>
      <sz val="11"/>
      <color rgb="FF0000FF"/>
      <name val="ＭＳ Ｐゴシック"/>
      <family val="3"/>
    </font>
    <font>
      <b/>
      <sz val="11"/>
      <name val="ＭＳ Ｐゴシック"/>
      <family val="3"/>
    </font>
    <font>
      <sz val="11"/>
      <color rgb="FF00B0F0"/>
      <name val="Meiryo UI"/>
      <family val="3"/>
    </font>
    <font>
      <strike/>
      <sz val="11"/>
      <color rgb="FF00B0F0"/>
      <name val="ＭＳ Ｐゴシック"/>
      <family val="3"/>
    </font>
    <font>
      <sz val="11"/>
      <color rgb="FF00B0F0"/>
      <name val="ＭＳ Ｐゴシック"/>
      <family val="3"/>
    </font>
    <font>
      <sz val="11"/>
      <name val="Meiryo UI"/>
      <family val="2"/>
    </font>
    <font>
      <strike/>
      <sz val="11"/>
      <name val="ＭＳ Ｐゴシック"/>
      <family val="3"/>
    </font>
    <font>
      <b/>
      <sz val="14"/>
      <color rgb="FF000000"/>
      <name val="Meiryo UI"/>
      <family val="2"/>
    </font>
    <font>
      <sz val="11"/>
      <color rgb="FF000000"/>
      <name val="Meiryo UI"/>
      <family val="2"/>
    </font>
    <font>
      <b/>
      <sz val="18"/>
      <name val="Meiryo UI"/>
      <family val="2"/>
    </font>
    <font>
      <b/>
      <sz val="13"/>
      <name val="Meiryo UI"/>
      <family val="3"/>
    </font>
    <font>
      <strike/>
      <sz val="11"/>
      <color rgb="FF00CC00"/>
      <name val="ＭＳ Ｐゴシック"/>
      <family val="3"/>
    </font>
    <font>
      <sz val="11"/>
      <color rgb="FF9933FF"/>
      <name val="Meiryo UI"/>
      <family val="3"/>
    </font>
    <font>
      <strike/>
      <sz val="11"/>
      <color rgb="FF9933FF"/>
      <name val="Meiryo UI"/>
      <family val="2"/>
    </font>
    <font>
      <sz val="11"/>
      <color rgb="FF9933FF"/>
      <name val="Meiryo UI"/>
      <family val="2"/>
    </font>
    <font>
      <sz val="11"/>
      <color rgb="FF9933FF"/>
      <name val="メイリオ"/>
      <family val="3"/>
    </font>
    <font>
      <sz val="11"/>
      <color rgb="FF009900"/>
      <name val="メイリオ"/>
      <family val="3"/>
    </font>
    <font>
      <sz val="11"/>
      <color rgb="FF0000FF"/>
      <name val="メイリオ"/>
      <family val="3"/>
    </font>
    <font>
      <sz val="11"/>
      <color rgb="FF00B0F0"/>
      <name val="メイリオ"/>
      <family val="3"/>
    </font>
    <font>
      <sz val="11"/>
      <color rgb="FFFF00FF"/>
      <name val="メイリオ"/>
      <family val="3"/>
    </font>
    <font>
      <sz val="11"/>
      <color rgb="FFC00000"/>
      <name val="メイリオ"/>
      <family val="3"/>
    </font>
    <font>
      <sz val="11"/>
      <color theme="1"/>
      <name val="Meiryo UI"/>
      <family val="2"/>
    </font>
    <font>
      <b/>
      <sz val="11"/>
      <color theme="1"/>
      <name val="Meiryo UI"/>
      <family val="3"/>
      <charset val="128"/>
    </font>
    <font>
      <b/>
      <sz val="11"/>
      <color theme="1"/>
      <name val="Meiryo UI"/>
      <family val="2"/>
    </font>
    <font>
      <sz val="11"/>
      <color rgb="FFFF0000"/>
      <name val="メイリオ"/>
      <family val="3"/>
    </font>
    <font>
      <sz val="11"/>
      <color rgb="FFA50021"/>
      <name val="メイリオ"/>
      <family val="3"/>
    </font>
    <font>
      <sz val="6"/>
      <name val="ＭＳ ゴシック"/>
      <family val="3"/>
      <charset val="128"/>
    </font>
    <font>
      <sz val="18"/>
      <color theme="1"/>
      <name val="Meiryo UI"/>
      <family val="3"/>
    </font>
    <font>
      <sz val="11"/>
      <color theme="1"/>
      <name val="Arial"/>
      <family val="2"/>
    </font>
    <font>
      <strike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ＭＳ Ｐゴシック"/>
    </font>
    <font>
      <sz val="11"/>
      <color rgb="FFFF0000"/>
      <name val="Meiryo UI"/>
      <family val="2"/>
    </font>
    <font>
      <strike/>
      <sz val="11"/>
      <color rgb="FFFF0000"/>
      <name val="Meiryo UI"/>
      <family val="2"/>
    </font>
    <font>
      <sz val="11"/>
      <color theme="1"/>
      <name val="ＭＳ Ｐゴシック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0" fontId="2" fillId="0" borderId="0" applyFont="0" applyFill="0" applyBorder="0" applyProtection="0"/>
    <xf numFmtId="38" fontId="2" fillId="0" borderId="0" applyFont="0" applyFill="0" applyBorder="0" applyProtection="0"/>
    <xf numFmtId="165" fontId="2" fillId="0" borderId="0" applyFont="0" applyFill="0" applyBorder="0" applyProtection="0"/>
    <xf numFmtId="164" fontId="2" fillId="0" borderId="0" applyFont="0" applyFill="0" applyBorder="0" applyProtection="0"/>
    <xf numFmtId="9" fontId="2" fillId="0" borderId="0" applyFont="0" applyFill="0" applyBorder="0" applyProtection="0"/>
    <xf numFmtId="0" fontId="23" fillId="0" borderId="0"/>
  </cellStyleXfs>
  <cellXfs count="59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0" xfId="0" applyAlignment="1"/>
    <xf numFmtId="0" fontId="0" fillId="0" borderId="5" xfId="0" applyBorder="1" applyAlignment="1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3" fillId="2" borderId="0" xfId="0" applyFont="1" applyFill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8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left" shrinkToFit="1"/>
    </xf>
    <xf numFmtId="1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2" xfId="0" applyFont="1" applyBorder="1">
      <alignment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1" fillId="5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 vertical="center"/>
    </xf>
    <xf numFmtId="49" fontId="15" fillId="0" borderId="22" xfId="0" applyNumberFormat="1" applyFont="1" applyBorder="1">
      <alignment vertical="center"/>
    </xf>
    <xf numFmtId="49" fontId="15" fillId="0" borderId="23" xfId="0" applyNumberFormat="1" applyFont="1" applyBorder="1">
      <alignment vertical="center"/>
    </xf>
    <xf numFmtId="49" fontId="15" fillId="0" borderId="24" xfId="0" applyNumberFormat="1" applyFont="1" applyBorder="1">
      <alignment vertical="center"/>
    </xf>
    <xf numFmtId="49" fontId="15" fillId="0" borderId="25" xfId="0" applyNumberFormat="1" applyFont="1" applyBorder="1">
      <alignment vertical="center"/>
    </xf>
    <xf numFmtId="0" fontId="24" fillId="2" borderId="2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5" xfId="0" applyFont="1" applyFill="1" applyBorder="1" applyAlignment="1">
      <alignment horizontal="left" vertical="center"/>
    </xf>
    <xf numFmtId="0" fontId="27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0" fillId="2" borderId="0" xfId="0" applyFont="1" applyFill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29" fillId="5" borderId="7" xfId="0" applyFont="1" applyFill="1" applyBorder="1" applyAlignment="1">
      <alignment horizontal="left" vertical="center"/>
    </xf>
    <xf numFmtId="0" fontId="29" fillId="5" borderId="8" xfId="0" applyFont="1" applyFill="1" applyBorder="1" applyAlignment="1">
      <alignment horizontal="left" vertical="center"/>
    </xf>
    <xf numFmtId="0" fontId="29" fillId="5" borderId="1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6" borderId="1" xfId="0" applyFont="1" applyFill="1" applyBorder="1">
      <alignment vertical="center"/>
    </xf>
    <xf numFmtId="49" fontId="15" fillId="0" borderId="26" xfId="0" applyNumberFormat="1" applyFont="1" applyBorder="1">
      <alignment vertical="center"/>
    </xf>
    <xf numFmtId="49" fontId="15" fillId="0" borderId="27" xfId="0" applyNumberFormat="1" applyFont="1" applyBorder="1">
      <alignment vertical="center"/>
    </xf>
    <xf numFmtId="49" fontId="15" fillId="0" borderId="28" xfId="0" applyNumberFormat="1" applyFont="1" applyBorder="1">
      <alignment vertical="center"/>
    </xf>
    <xf numFmtId="49" fontId="15" fillId="0" borderId="29" xfId="0" applyNumberFormat="1" applyFont="1" applyBorder="1">
      <alignment vertical="center"/>
    </xf>
    <xf numFmtId="49" fontId="15" fillId="0" borderId="30" xfId="0" applyNumberFormat="1" applyFont="1" applyBorder="1">
      <alignment vertical="center"/>
    </xf>
    <xf numFmtId="0" fontId="32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0" xfId="0" applyFont="1">
      <alignment vertical="center"/>
    </xf>
    <xf numFmtId="0" fontId="33" fillId="2" borderId="0" xfId="0" applyFont="1" applyFill="1" applyAlignment="1">
      <alignment horizontal="left" vertical="center"/>
    </xf>
    <xf numFmtId="0" fontId="32" fillId="2" borderId="7" xfId="0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4" fillId="2" borderId="1" xfId="0" applyFont="1" applyFill="1" applyBorder="1">
      <alignment vertical="center"/>
    </xf>
    <xf numFmtId="0" fontId="34" fillId="2" borderId="1" xfId="0" applyFont="1" applyFill="1" applyBorder="1" applyAlignment="1">
      <alignment horizontal="left" vertical="center"/>
    </xf>
    <xf numFmtId="0" fontId="34" fillId="2" borderId="8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34" fillId="2" borderId="0" xfId="0" applyFont="1" applyFill="1">
      <alignment vertical="center"/>
    </xf>
    <xf numFmtId="0" fontId="34" fillId="2" borderId="0" xfId="0" applyFont="1" applyFill="1" applyAlignment="1">
      <alignment horizontal="left" vertical="center"/>
    </xf>
    <xf numFmtId="0" fontId="34" fillId="2" borderId="5" xfId="0" applyFont="1" applyFill="1" applyBorder="1" applyAlignment="1">
      <alignment horizontal="left" vertical="center"/>
    </xf>
    <xf numFmtId="0" fontId="36" fillId="2" borderId="10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4" fillId="2" borderId="2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0" fontId="39" fillId="0" borderId="0" xfId="0" applyFont="1">
      <alignment vertical="center"/>
    </xf>
    <xf numFmtId="0" fontId="41" fillId="2" borderId="0" xfId="0" applyFont="1" applyFill="1" applyAlignment="1">
      <alignment horizontal="left" vertical="center"/>
    </xf>
    <xf numFmtId="0" fontId="2" fillId="2" borderId="2" xfId="0" applyFont="1" applyFill="1" applyBorder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3" fillId="2" borderId="2" xfId="0" applyFont="1" applyFill="1" applyBorder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43" fillId="2" borderId="7" xfId="0" applyFont="1" applyFill="1" applyBorder="1" applyAlignment="1">
      <alignment horizontal="left" vertical="center"/>
    </xf>
    <xf numFmtId="0" fontId="43" fillId="2" borderId="8" xfId="0" applyFont="1" applyFill="1" applyBorder="1" applyAlignment="1">
      <alignment horizontal="left" vertical="center"/>
    </xf>
    <xf numFmtId="0" fontId="43" fillId="2" borderId="1" xfId="0" applyFont="1" applyFill="1" applyBorder="1" applyAlignment="1">
      <alignment horizontal="left" vertical="center"/>
    </xf>
    <xf numFmtId="0" fontId="43" fillId="2" borderId="5" xfId="0" applyFont="1" applyFill="1" applyBorder="1" applyAlignment="1">
      <alignment horizontal="left" vertical="center"/>
    </xf>
    <xf numFmtId="0" fontId="43" fillId="2" borderId="0" xfId="0" applyFont="1" applyFill="1">
      <alignment vertical="center"/>
    </xf>
    <xf numFmtId="0" fontId="44" fillId="2" borderId="0" xfId="0" applyFont="1" applyFill="1" applyAlignment="1">
      <alignment horizontal="left" vertical="center"/>
    </xf>
    <xf numFmtId="49" fontId="45" fillId="0" borderId="22" xfId="0" applyNumberFormat="1" applyFont="1" applyBorder="1">
      <alignment vertical="center"/>
    </xf>
    <xf numFmtId="49" fontId="45" fillId="0" borderId="23" xfId="0" applyNumberFormat="1" applyFont="1" applyBorder="1">
      <alignment vertical="center"/>
    </xf>
    <xf numFmtId="49" fontId="45" fillId="0" borderId="25" xfId="0" applyNumberFormat="1" applyFont="1" applyBorder="1">
      <alignment vertical="center"/>
    </xf>
    <xf numFmtId="0" fontId="44" fillId="2" borderId="8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49" fontId="46" fillId="0" borderId="22" xfId="0" applyNumberFormat="1" applyFont="1" applyBorder="1">
      <alignment vertical="center"/>
    </xf>
    <xf numFmtId="49" fontId="47" fillId="0" borderId="22" xfId="0" applyNumberFormat="1" applyFont="1" applyBorder="1">
      <alignment vertical="center"/>
    </xf>
    <xf numFmtId="49" fontId="47" fillId="0" borderId="23" xfId="0" applyNumberFormat="1" applyFont="1" applyBorder="1">
      <alignment vertical="center"/>
    </xf>
    <xf numFmtId="49" fontId="47" fillId="0" borderId="24" xfId="0" applyNumberFormat="1" applyFont="1" applyBorder="1">
      <alignment vertical="center"/>
    </xf>
    <xf numFmtId="49" fontId="47" fillId="0" borderId="25" xfId="0" applyNumberFormat="1" applyFont="1" applyBorder="1">
      <alignment vertical="center"/>
    </xf>
    <xf numFmtId="49" fontId="48" fillId="0" borderId="22" xfId="0" applyNumberFormat="1" applyFont="1" applyBorder="1">
      <alignment vertical="center"/>
    </xf>
    <xf numFmtId="49" fontId="48" fillId="0" borderId="23" xfId="0" applyNumberFormat="1" applyFont="1" applyBorder="1">
      <alignment vertical="center"/>
    </xf>
    <xf numFmtId="49" fontId="48" fillId="0" borderId="24" xfId="0" applyNumberFormat="1" applyFont="1" applyBorder="1">
      <alignment vertical="center"/>
    </xf>
    <xf numFmtId="49" fontId="48" fillId="0" borderId="25" xfId="0" applyNumberFormat="1" applyFont="1" applyBorder="1">
      <alignment vertical="center"/>
    </xf>
    <xf numFmtId="49" fontId="49" fillId="0" borderId="22" xfId="0" applyNumberFormat="1" applyFont="1" applyBorder="1">
      <alignment vertical="center"/>
    </xf>
    <xf numFmtId="49" fontId="50" fillId="0" borderId="22" xfId="0" applyNumberFormat="1" applyFont="1" applyBorder="1">
      <alignment vertical="center"/>
    </xf>
    <xf numFmtId="49" fontId="50" fillId="0" borderId="23" xfId="0" applyNumberFormat="1" applyFont="1" applyBorder="1">
      <alignment vertical="center"/>
    </xf>
    <xf numFmtId="49" fontId="50" fillId="0" borderId="25" xfId="0" applyNumberFormat="1" applyFont="1" applyBorder="1">
      <alignment vertical="center"/>
    </xf>
    <xf numFmtId="0" fontId="52" fillId="2" borderId="0" xfId="0" applyFont="1" applyFill="1" applyAlignment="1">
      <alignment horizontal="left" vertical="center"/>
    </xf>
    <xf numFmtId="0" fontId="53" fillId="2" borderId="0" xfId="0" applyFont="1" applyFill="1" applyAlignment="1">
      <alignment horizontal="left" vertical="center"/>
    </xf>
    <xf numFmtId="49" fontId="54" fillId="0" borderId="22" xfId="0" applyNumberFormat="1" applyFont="1" applyBorder="1">
      <alignment vertical="center"/>
    </xf>
    <xf numFmtId="0" fontId="28" fillId="0" borderId="2" xfId="0" applyFont="1" applyBorder="1" applyAlignment="1"/>
    <xf numFmtId="0" fontId="28" fillId="0" borderId="5" xfId="0" applyFont="1" applyBorder="1" applyAlignment="1"/>
    <xf numFmtId="49" fontId="55" fillId="0" borderId="22" xfId="0" applyNumberFormat="1" applyFont="1" applyBorder="1">
      <alignment vertical="center"/>
    </xf>
    <xf numFmtId="49" fontId="55" fillId="0" borderId="23" xfId="0" applyNumberFormat="1" applyFont="1" applyBorder="1">
      <alignment vertical="center"/>
    </xf>
    <xf numFmtId="49" fontId="55" fillId="0" borderId="24" xfId="0" applyNumberFormat="1" applyFont="1" applyBorder="1">
      <alignment vertical="center"/>
    </xf>
    <xf numFmtId="49" fontId="55" fillId="0" borderId="25" xfId="0" applyNumberFormat="1" applyFont="1" applyBorder="1">
      <alignment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5" fillId="2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35" fillId="2" borderId="7" xfId="0" applyFont="1" applyFill="1" applyBorder="1" applyAlignment="1">
      <alignment horizontal="left" vertical="center"/>
    </xf>
    <xf numFmtId="0" fontId="35" fillId="2" borderId="1" xfId="0" applyFont="1" applyFill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0" fontId="21" fillId="0" borderId="2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49" fontId="21" fillId="2" borderId="0" xfId="0" applyNumberFormat="1" applyFont="1" applyFill="1">
      <alignment vertical="center"/>
    </xf>
    <xf numFmtId="0" fontId="21" fillId="8" borderId="7" xfId="0" applyFont="1" applyFill="1" applyBorder="1" applyAlignment="1">
      <alignment horizontal="centerContinuous" vertical="center"/>
    </xf>
    <xf numFmtId="0" fontId="21" fillId="8" borderId="8" xfId="0" applyFont="1" applyFill="1" applyBorder="1" applyAlignment="1">
      <alignment horizontal="centerContinuous" vertical="center"/>
    </xf>
    <xf numFmtId="0" fontId="21" fillId="8" borderId="1" xfId="0" applyFont="1" applyFill="1" applyBorder="1" applyAlignment="1">
      <alignment horizontal="centerContinuous" vertical="center"/>
    </xf>
    <xf numFmtId="0" fontId="21" fillId="8" borderId="34" xfId="0" applyFont="1" applyFill="1" applyBorder="1" applyAlignment="1">
      <alignment horizontal="centerContinuous" vertical="center"/>
    </xf>
    <xf numFmtId="0" fontId="21" fillId="8" borderId="35" xfId="0" applyFont="1" applyFill="1" applyBorder="1" applyAlignment="1">
      <alignment horizontal="centerContinuous" vertical="center"/>
    </xf>
    <xf numFmtId="0" fontId="21" fillId="0" borderId="7" xfId="0" applyFont="1" applyBorder="1" applyAlignment="1">
      <alignment horizontal="centerContinuous" vertical="center"/>
    </xf>
    <xf numFmtId="0" fontId="21" fillId="2" borderId="8" xfId="0" applyFont="1" applyFill="1" applyBorder="1" applyAlignment="1">
      <alignment horizontal="centerContinuous" vertical="center"/>
    </xf>
    <xf numFmtId="0" fontId="21" fillId="2" borderId="35" xfId="0" applyFont="1" applyFill="1" applyBorder="1" applyAlignment="1">
      <alignment horizontal="centerContinuous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0" fontId="21" fillId="2" borderId="0" xfId="0" applyFont="1" applyFill="1" applyAlignment="1">
      <alignment horizontal="centerContinuous" vertical="center"/>
    </xf>
    <xf numFmtId="0" fontId="21" fillId="2" borderId="0" xfId="0" quotePrefix="1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>
      <alignment vertical="center"/>
    </xf>
    <xf numFmtId="49" fontId="21" fillId="2" borderId="0" xfId="0" quotePrefix="1" applyNumberFormat="1" applyFont="1" applyFill="1">
      <alignment vertical="center"/>
    </xf>
    <xf numFmtId="0" fontId="21" fillId="8" borderId="9" xfId="0" applyFont="1" applyFill="1" applyBorder="1" applyAlignment="1">
      <alignment horizontal="centerContinuous" vertical="center"/>
    </xf>
    <xf numFmtId="0" fontId="21" fillId="8" borderId="10" xfId="0" applyFont="1" applyFill="1" applyBorder="1" applyAlignment="1">
      <alignment horizontal="centerContinuous" vertical="center"/>
    </xf>
    <xf numFmtId="0" fontId="21" fillId="8" borderId="9" xfId="0" applyFont="1" applyFill="1" applyBorder="1" applyAlignment="1">
      <alignment horizontal="left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Continuous" vertical="center"/>
    </xf>
    <xf numFmtId="0" fontId="21" fillId="8" borderId="7" xfId="0" applyFont="1" applyFill="1" applyBorder="1" applyAlignment="1">
      <alignment horizontal="left" vertical="center"/>
    </xf>
    <xf numFmtId="0" fontId="2" fillId="8" borderId="1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7" fillId="8" borderId="1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0" fontId="21" fillId="2" borderId="1" xfId="0" applyFont="1" applyFill="1" applyBorder="1">
      <alignment vertical="center"/>
    </xf>
    <xf numFmtId="0" fontId="21" fillId="2" borderId="8" xfId="0" applyFont="1" applyFill="1" applyBorder="1">
      <alignment vertical="center"/>
    </xf>
    <xf numFmtId="0" fontId="2" fillId="2" borderId="7" xfId="0" quotePrefix="1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1" fillId="2" borderId="0" xfId="0" quotePrefix="1" applyFont="1" applyFill="1">
      <alignment vertical="center"/>
    </xf>
    <xf numFmtId="0" fontId="21" fillId="8" borderId="9" xfId="0" applyFont="1" applyFill="1" applyBorder="1">
      <alignment vertical="center"/>
    </xf>
    <xf numFmtId="0" fontId="21" fillId="8" borderId="10" xfId="0" applyFont="1" applyFill="1" applyBorder="1">
      <alignment vertical="center"/>
    </xf>
    <xf numFmtId="0" fontId="21" fillId="8" borderId="11" xfId="0" applyFont="1" applyFill="1" applyBorder="1">
      <alignment vertical="center"/>
    </xf>
    <xf numFmtId="0" fontId="21" fillId="8" borderId="1" xfId="0" applyFont="1" applyFill="1" applyBorder="1">
      <alignment vertical="center"/>
    </xf>
    <xf numFmtId="0" fontId="21" fillId="8" borderId="8" xfId="0" applyFont="1" applyFill="1" applyBorder="1">
      <alignment vertical="center"/>
    </xf>
    <xf numFmtId="0" fontId="21" fillId="8" borderId="7" xfId="0" applyFont="1" applyFill="1" applyBorder="1">
      <alignment vertical="center"/>
    </xf>
    <xf numFmtId="0" fontId="21" fillId="2" borderId="9" xfId="0" applyFont="1" applyFill="1" applyBorder="1" applyAlignment="1">
      <alignment horizontal="centerContinuous" vertical="center"/>
    </xf>
    <xf numFmtId="0" fontId="21" fillId="2" borderId="10" xfId="0" applyFont="1" applyFill="1" applyBorder="1" applyAlignment="1">
      <alignment horizontal="centerContinuous" vertical="center"/>
    </xf>
    <xf numFmtId="0" fontId="21" fillId="2" borderId="9" xfId="0" applyFont="1" applyFill="1" applyBorder="1">
      <alignment vertical="center"/>
    </xf>
    <xf numFmtId="0" fontId="21" fillId="2" borderId="10" xfId="0" applyFont="1" applyFill="1" applyBorder="1">
      <alignment vertical="center"/>
    </xf>
    <xf numFmtId="0" fontId="21" fillId="2" borderId="11" xfId="0" applyFont="1" applyFill="1" applyBorder="1">
      <alignment vertical="center"/>
    </xf>
    <xf numFmtId="0" fontId="21" fillId="2" borderId="3" xfId="0" applyFont="1" applyFill="1" applyBorder="1" applyAlignment="1">
      <alignment horizontal="centerContinuous" vertical="center"/>
    </xf>
    <xf numFmtId="0" fontId="21" fillId="2" borderId="4" xfId="0" applyFont="1" applyFill="1" applyBorder="1" applyAlignment="1">
      <alignment horizontal="centerContinuous" vertical="center"/>
    </xf>
    <xf numFmtId="0" fontId="21" fillId="2" borderId="3" xfId="0" applyFont="1" applyFill="1" applyBorder="1">
      <alignment vertical="center"/>
    </xf>
    <xf numFmtId="0" fontId="21" fillId="2" borderId="4" xfId="0" applyFont="1" applyFill="1" applyBorder="1">
      <alignment vertical="center"/>
    </xf>
    <xf numFmtId="0" fontId="21" fillId="2" borderId="6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5" xfId="0" applyFont="1" applyFill="1" applyBorder="1">
      <alignment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51" fillId="2" borderId="1" xfId="0" applyFont="1" applyFill="1" applyBorder="1" applyAlignment="1">
      <alignment horizontal="left" vertical="center"/>
    </xf>
    <xf numFmtId="0" fontId="7" fillId="2" borderId="3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31" xfId="0" applyFont="1" applyBorder="1">
      <alignment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59" fillId="2" borderId="0" xfId="0" applyFont="1" applyFill="1">
      <alignment vertical="center"/>
    </xf>
    <xf numFmtId="0" fontId="59" fillId="2" borderId="0" xfId="0" applyFont="1" applyFill="1" applyAlignment="1">
      <alignment horizontal="left" vertical="center"/>
    </xf>
    <xf numFmtId="0" fontId="59" fillId="8" borderId="1" xfId="0" applyFont="1" applyFill="1" applyBorder="1">
      <alignment vertical="center"/>
    </xf>
    <xf numFmtId="0" fontId="59" fillId="2" borderId="1" xfId="0" applyFont="1" applyFill="1" applyBorder="1">
      <alignment vertical="center"/>
    </xf>
    <xf numFmtId="0" fontId="7" fillId="0" borderId="2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24" fillId="2" borderId="4" xfId="0" applyFont="1" applyFill="1" applyBorder="1">
      <alignment vertical="center"/>
    </xf>
    <xf numFmtId="0" fontId="3" fillId="0" borderId="10" xfId="0" applyFont="1" applyBorder="1">
      <alignment vertical="center"/>
    </xf>
    <xf numFmtId="0" fontId="27" fillId="0" borderId="10" xfId="0" applyFont="1" applyBorder="1">
      <alignment vertical="center"/>
    </xf>
    <xf numFmtId="0" fontId="24" fillId="2" borderId="0" xfId="0" quotePrefix="1" applyFont="1" applyFill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0" fontId="24" fillId="2" borderId="1" xfId="0" applyFont="1" applyFill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" xfId="0" applyFont="1" applyBorder="1">
      <alignment vertical="center"/>
    </xf>
    <xf numFmtId="0" fontId="24" fillId="0" borderId="4" xfId="0" applyFont="1" applyBorder="1">
      <alignment vertical="center"/>
    </xf>
    <xf numFmtId="0" fontId="62" fillId="2" borderId="1" xfId="0" applyFont="1" applyFill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7" fillId="0" borderId="3" xfId="0" quotePrefix="1" applyFont="1" applyBorder="1">
      <alignment vertical="center"/>
    </xf>
    <xf numFmtId="0" fontId="61" fillId="2" borderId="3" xfId="0" applyFont="1" applyFill="1" applyBorder="1">
      <alignment vertical="center"/>
    </xf>
    <xf numFmtId="0" fontId="64" fillId="2" borderId="2" xfId="0" applyFont="1" applyFill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5" fillId="3" borderId="9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7" fontId="55" fillId="0" borderId="9" xfId="0" applyNumberFormat="1" applyFont="1" applyBorder="1" applyAlignment="1">
      <alignment horizontal="left" vertical="center"/>
    </xf>
    <xf numFmtId="167" fontId="55" fillId="0" borderId="10" xfId="0" applyNumberFormat="1" applyFont="1" applyBorder="1" applyAlignment="1">
      <alignment horizontal="left" vertical="center"/>
    </xf>
    <xf numFmtId="167" fontId="55" fillId="0" borderId="11" xfId="0" applyNumberFormat="1" applyFont="1" applyBorder="1" applyAlignment="1">
      <alignment horizontal="left" vertical="center"/>
    </xf>
    <xf numFmtId="167" fontId="55" fillId="0" borderId="3" xfId="0" applyNumberFormat="1" applyFont="1" applyBorder="1" applyAlignment="1">
      <alignment horizontal="left" vertical="center"/>
    </xf>
    <xf numFmtId="167" fontId="55" fillId="0" borderId="4" xfId="0" applyNumberFormat="1" applyFont="1" applyBorder="1" applyAlignment="1">
      <alignment horizontal="left" vertical="center"/>
    </xf>
    <xf numFmtId="167" fontId="55" fillId="0" borderId="6" xfId="0" applyNumberFormat="1" applyFont="1" applyBorder="1" applyAlignment="1">
      <alignment horizontal="left" vertical="center"/>
    </xf>
    <xf numFmtId="49" fontId="55" fillId="0" borderId="9" xfId="0" applyNumberFormat="1" applyFont="1" applyBorder="1" applyAlignment="1">
      <alignment horizontal="left" vertical="center"/>
    </xf>
    <xf numFmtId="0" fontId="55" fillId="0" borderId="10" xfId="0" applyFont="1" applyBorder="1" applyAlignment="1">
      <alignment horizontal="left" vertical="center"/>
    </xf>
    <xf numFmtId="0" fontId="55" fillId="0" borderId="11" xfId="0" applyFont="1" applyBorder="1" applyAlignment="1">
      <alignment horizontal="left" vertical="center"/>
    </xf>
    <xf numFmtId="0" fontId="55" fillId="0" borderId="3" xfId="0" applyFont="1" applyBorder="1" applyAlignment="1">
      <alignment horizontal="left" vertical="center"/>
    </xf>
    <xf numFmtId="0" fontId="55" fillId="0" borderId="4" xfId="0" applyFont="1" applyBorder="1" applyAlignment="1">
      <alignment horizontal="left" vertical="center"/>
    </xf>
    <xf numFmtId="0" fontId="55" fillId="0" borderId="6" xfId="0" applyFont="1" applyBorder="1" applyAlignment="1">
      <alignment horizontal="left" vertical="center"/>
    </xf>
    <xf numFmtId="168" fontId="55" fillId="0" borderId="9" xfId="0" applyNumberFormat="1" applyFont="1" applyBorder="1" applyAlignment="1">
      <alignment horizontal="center" vertical="center"/>
    </xf>
    <xf numFmtId="168" fontId="55" fillId="0" borderId="10" xfId="0" applyNumberFormat="1" applyFont="1" applyBorder="1" applyAlignment="1">
      <alignment horizontal="center" vertical="center"/>
    </xf>
    <xf numFmtId="168" fontId="55" fillId="0" borderId="11" xfId="0" applyNumberFormat="1" applyFont="1" applyBorder="1" applyAlignment="1">
      <alignment horizontal="center" vertical="center"/>
    </xf>
    <xf numFmtId="168" fontId="55" fillId="0" borderId="3" xfId="0" applyNumberFormat="1" applyFont="1" applyBorder="1" applyAlignment="1">
      <alignment horizontal="center" vertical="center"/>
    </xf>
    <xf numFmtId="168" fontId="55" fillId="0" borderId="4" xfId="0" applyNumberFormat="1" applyFont="1" applyBorder="1" applyAlignment="1">
      <alignment horizontal="center" vertical="center"/>
    </xf>
    <xf numFmtId="168" fontId="55" fillId="0" borderId="6" xfId="0" applyNumberFormat="1" applyFont="1" applyBorder="1" applyAlignment="1">
      <alignment horizontal="center" vertical="center"/>
    </xf>
    <xf numFmtId="49" fontId="28" fillId="0" borderId="9" xfId="0" applyNumberFormat="1" applyFont="1" applyBorder="1">
      <alignment vertical="center"/>
    </xf>
    <xf numFmtId="49" fontId="28" fillId="0" borderId="10" xfId="0" applyNumberFormat="1" applyFont="1" applyBorder="1">
      <alignment vertical="center"/>
    </xf>
    <xf numFmtId="49" fontId="28" fillId="0" borderId="11" xfId="0" applyNumberFormat="1" applyFont="1" applyBorder="1">
      <alignment vertical="center"/>
    </xf>
    <xf numFmtId="49" fontId="28" fillId="0" borderId="3" xfId="0" applyNumberFormat="1" applyFont="1" applyBorder="1">
      <alignment vertical="center"/>
    </xf>
    <xf numFmtId="49" fontId="28" fillId="0" borderId="4" xfId="0" applyNumberFormat="1" applyFont="1" applyBorder="1">
      <alignment vertical="center"/>
    </xf>
    <xf numFmtId="49" fontId="28" fillId="0" borderId="6" xfId="0" applyNumberFormat="1" applyFont="1" applyBorder="1">
      <alignment vertical="center"/>
    </xf>
    <xf numFmtId="168" fontId="15" fillId="0" borderId="9" xfId="0" applyNumberFormat="1" applyFont="1" applyBorder="1" applyAlignment="1">
      <alignment horizontal="center" vertical="center"/>
    </xf>
    <xf numFmtId="168" fontId="15" fillId="0" borderId="10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8" fontId="15" fillId="0" borderId="4" xfId="0" applyNumberFormat="1" applyFont="1" applyBorder="1" applyAlignment="1">
      <alignment horizontal="center" vertical="center"/>
    </xf>
    <xf numFmtId="168" fontId="15" fillId="0" borderId="6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6" xfId="0" applyNumberFormat="1" applyBorder="1">
      <alignment vertical="center"/>
    </xf>
    <xf numFmtId="167" fontId="15" fillId="0" borderId="9" xfId="0" applyNumberFormat="1" applyFont="1" applyBorder="1" applyAlignment="1">
      <alignment horizontal="left" vertical="center"/>
    </xf>
    <xf numFmtId="167" fontId="15" fillId="0" borderId="10" xfId="0" applyNumberFormat="1" applyFont="1" applyBorder="1" applyAlignment="1">
      <alignment horizontal="left" vertical="center"/>
    </xf>
    <xf numFmtId="167" fontId="15" fillId="0" borderId="11" xfId="0" applyNumberFormat="1" applyFont="1" applyBorder="1" applyAlignment="1">
      <alignment horizontal="left" vertical="center"/>
    </xf>
    <xf numFmtId="167" fontId="15" fillId="0" borderId="3" xfId="0" applyNumberFormat="1" applyFont="1" applyBorder="1" applyAlignment="1">
      <alignment horizontal="left" vertical="center"/>
    </xf>
    <xf numFmtId="167" fontId="15" fillId="0" borderId="4" xfId="0" applyNumberFormat="1" applyFont="1" applyBorder="1" applyAlignment="1">
      <alignment horizontal="left" vertical="center"/>
    </xf>
    <xf numFmtId="167" fontId="15" fillId="0" borderId="6" xfId="0" applyNumberFormat="1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/>
    </xf>
    <xf numFmtId="167" fontId="45" fillId="0" borderId="9" xfId="0" applyNumberFormat="1" applyFont="1" applyBorder="1" applyAlignment="1">
      <alignment horizontal="left" vertical="center"/>
    </xf>
    <xf numFmtId="167" fontId="45" fillId="0" borderId="10" xfId="0" applyNumberFormat="1" applyFont="1" applyBorder="1" applyAlignment="1">
      <alignment horizontal="left" vertical="center"/>
    </xf>
    <xf numFmtId="167" fontId="45" fillId="0" borderId="11" xfId="0" applyNumberFormat="1" applyFont="1" applyBorder="1" applyAlignment="1">
      <alignment horizontal="left" vertical="center"/>
    </xf>
    <xf numFmtId="167" fontId="45" fillId="0" borderId="3" xfId="0" applyNumberFormat="1" applyFont="1" applyBorder="1" applyAlignment="1">
      <alignment horizontal="left" vertical="center"/>
    </xf>
    <xf numFmtId="167" fontId="45" fillId="0" borderId="4" xfId="0" applyNumberFormat="1" applyFont="1" applyBorder="1" applyAlignment="1">
      <alignment horizontal="left" vertical="center"/>
    </xf>
    <xf numFmtId="167" fontId="45" fillId="0" borderId="6" xfId="0" applyNumberFormat="1" applyFont="1" applyBorder="1" applyAlignment="1">
      <alignment horizontal="left" vertical="center"/>
    </xf>
    <xf numFmtId="167" fontId="15" fillId="0" borderId="2" xfId="0" applyNumberFormat="1" applyFont="1" applyBorder="1" applyAlignment="1">
      <alignment horizontal="left" vertical="center"/>
    </xf>
    <xf numFmtId="167" fontId="15" fillId="0" borderId="0" xfId="0" applyNumberFormat="1" applyFont="1" applyAlignment="1">
      <alignment horizontal="left" vertical="center"/>
    </xf>
    <xf numFmtId="167" fontId="15" fillId="0" borderId="5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8" fontId="15" fillId="0" borderId="2" xfId="0" applyNumberFormat="1" applyFont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49" fontId="15" fillId="0" borderId="22" xfId="0" applyNumberFormat="1" applyFont="1" applyBorder="1" applyAlignment="1">
      <alignment horizontal="left" vertical="center" wrapText="1"/>
    </xf>
    <xf numFmtId="49" fontId="15" fillId="0" borderId="23" xfId="0" applyNumberFormat="1" applyFont="1" applyBorder="1" applyAlignment="1">
      <alignment horizontal="left" vertical="center" wrapText="1"/>
    </xf>
    <xf numFmtId="49" fontId="15" fillId="0" borderId="26" xfId="0" applyNumberFormat="1" applyFont="1" applyBorder="1" applyAlignment="1">
      <alignment horizontal="left" vertical="center" wrapText="1"/>
    </xf>
    <xf numFmtId="0" fontId="26" fillId="3" borderId="10" xfId="0" applyFont="1" applyFill="1" applyBorder="1" applyAlignment="1">
      <alignment horizontal="left" vertical="center"/>
    </xf>
    <xf numFmtId="0" fontId="26" fillId="3" borderId="11" xfId="0" applyFont="1" applyFill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0" fontId="26" fillId="3" borderId="9" xfId="0" applyFont="1" applyFill="1" applyBorder="1" applyAlignment="1">
      <alignment horizontal="left" vertical="center"/>
    </xf>
    <xf numFmtId="49" fontId="45" fillId="0" borderId="9" xfId="0" applyNumberFormat="1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/>
    </xf>
    <xf numFmtId="0" fontId="45" fillId="0" borderId="11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168" fontId="45" fillId="0" borderId="9" xfId="0" applyNumberFormat="1" applyFont="1" applyBorder="1" applyAlignment="1">
      <alignment horizontal="center" vertical="center"/>
    </xf>
    <xf numFmtId="168" fontId="45" fillId="0" borderId="10" xfId="0" applyNumberFormat="1" applyFont="1" applyBorder="1" applyAlignment="1">
      <alignment horizontal="center" vertical="center"/>
    </xf>
    <xf numFmtId="168" fontId="45" fillId="0" borderId="11" xfId="0" applyNumberFormat="1" applyFont="1" applyBorder="1" applyAlignment="1">
      <alignment horizontal="center" vertical="center"/>
    </xf>
    <xf numFmtId="168" fontId="45" fillId="0" borderId="3" xfId="0" applyNumberFormat="1" applyFont="1" applyBorder="1" applyAlignment="1">
      <alignment horizontal="center" vertical="center"/>
    </xf>
    <xf numFmtId="168" fontId="45" fillId="0" borderId="4" xfId="0" applyNumberFormat="1" applyFont="1" applyBorder="1" applyAlignment="1">
      <alignment horizontal="center" vertical="center"/>
    </xf>
    <xf numFmtId="168" fontId="45" fillId="0" borderId="6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left" vertical="center"/>
    </xf>
    <xf numFmtId="0" fontId="46" fillId="0" borderId="10" xfId="0" applyFont="1" applyBorder="1" applyAlignment="1">
      <alignment horizontal="left" vertical="center"/>
    </xf>
    <xf numFmtId="0" fontId="46" fillId="0" borderId="11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46" fillId="0" borderId="6" xfId="0" applyFont="1" applyBorder="1" applyAlignment="1">
      <alignment horizontal="left" vertical="center"/>
    </xf>
    <xf numFmtId="168" fontId="46" fillId="0" borderId="9" xfId="0" applyNumberFormat="1" applyFont="1" applyBorder="1" applyAlignment="1">
      <alignment horizontal="center" vertical="center"/>
    </xf>
    <xf numFmtId="168" fontId="46" fillId="0" borderId="10" xfId="0" applyNumberFormat="1" applyFont="1" applyBorder="1" applyAlignment="1">
      <alignment horizontal="center" vertical="center"/>
    </xf>
    <xf numFmtId="168" fontId="46" fillId="0" borderId="11" xfId="0" applyNumberFormat="1" applyFont="1" applyBorder="1" applyAlignment="1">
      <alignment horizontal="center" vertical="center"/>
    </xf>
    <xf numFmtId="168" fontId="46" fillId="0" borderId="3" xfId="0" applyNumberFormat="1" applyFont="1" applyBorder="1" applyAlignment="1">
      <alignment horizontal="center" vertical="center"/>
    </xf>
    <xf numFmtId="168" fontId="46" fillId="0" borderId="4" xfId="0" applyNumberFormat="1" applyFont="1" applyBorder="1" applyAlignment="1">
      <alignment horizontal="center" vertical="center"/>
    </xf>
    <xf numFmtId="168" fontId="46" fillId="0" borderId="6" xfId="0" applyNumberFormat="1" applyFont="1" applyBorder="1" applyAlignment="1">
      <alignment horizontal="center" vertical="center"/>
    </xf>
    <xf numFmtId="167" fontId="49" fillId="0" borderId="9" xfId="0" applyNumberFormat="1" applyFont="1" applyBorder="1" applyAlignment="1">
      <alignment horizontal="left" vertical="center"/>
    </xf>
    <xf numFmtId="167" fontId="49" fillId="0" borderId="10" xfId="0" applyNumberFormat="1" applyFont="1" applyBorder="1" applyAlignment="1">
      <alignment horizontal="left" vertical="center"/>
    </xf>
    <xf numFmtId="167" fontId="49" fillId="0" borderId="11" xfId="0" applyNumberFormat="1" applyFont="1" applyBorder="1" applyAlignment="1">
      <alignment horizontal="left" vertical="center"/>
    </xf>
    <xf numFmtId="167" fontId="49" fillId="0" borderId="3" xfId="0" applyNumberFormat="1" applyFont="1" applyBorder="1" applyAlignment="1">
      <alignment horizontal="left" vertical="center"/>
    </xf>
    <xf numFmtId="167" fontId="49" fillId="0" borderId="4" xfId="0" applyNumberFormat="1" applyFont="1" applyBorder="1" applyAlignment="1">
      <alignment horizontal="left" vertical="center"/>
    </xf>
    <xf numFmtId="167" fontId="49" fillId="0" borderId="6" xfId="0" applyNumberFormat="1" applyFont="1" applyBorder="1" applyAlignment="1">
      <alignment horizontal="left" vertical="center"/>
    </xf>
    <xf numFmtId="49" fontId="49" fillId="0" borderId="9" xfId="0" applyNumberFormat="1" applyFont="1" applyBorder="1" applyAlignment="1">
      <alignment horizontal="left" vertical="center"/>
    </xf>
    <xf numFmtId="0" fontId="49" fillId="0" borderId="10" xfId="0" applyFont="1" applyBorder="1" applyAlignment="1">
      <alignment horizontal="left" vertical="center"/>
    </xf>
    <xf numFmtId="0" fontId="49" fillId="0" borderId="11" xfId="0" applyFont="1" applyBorder="1" applyAlignment="1">
      <alignment horizontal="left" vertical="center"/>
    </xf>
    <xf numFmtId="0" fontId="49" fillId="0" borderId="3" xfId="0" applyFont="1" applyBorder="1" applyAlignment="1">
      <alignment horizontal="left" vertical="center"/>
    </xf>
    <xf numFmtId="0" fontId="49" fillId="0" borderId="4" xfId="0" applyFont="1" applyBorder="1" applyAlignment="1">
      <alignment horizontal="left" vertical="center"/>
    </xf>
    <xf numFmtId="0" fontId="49" fillId="0" borderId="6" xfId="0" applyFont="1" applyBorder="1" applyAlignment="1">
      <alignment horizontal="left" vertical="center"/>
    </xf>
    <xf numFmtId="168" fontId="49" fillId="0" borderId="9" xfId="0" applyNumberFormat="1" applyFont="1" applyBorder="1" applyAlignment="1">
      <alignment horizontal="center" vertical="center"/>
    </xf>
    <xf numFmtId="168" fontId="49" fillId="0" borderId="10" xfId="0" applyNumberFormat="1" applyFont="1" applyBorder="1" applyAlignment="1">
      <alignment horizontal="center" vertical="center"/>
    </xf>
    <xf numFmtId="168" fontId="49" fillId="0" borderId="11" xfId="0" applyNumberFormat="1" applyFont="1" applyBorder="1" applyAlignment="1">
      <alignment horizontal="center" vertical="center"/>
    </xf>
    <xf numFmtId="168" fontId="49" fillId="0" borderId="3" xfId="0" applyNumberFormat="1" applyFont="1" applyBorder="1" applyAlignment="1">
      <alignment horizontal="center" vertical="center"/>
    </xf>
    <xf numFmtId="168" fontId="49" fillId="0" borderId="4" xfId="0" applyNumberFormat="1" applyFont="1" applyBorder="1" applyAlignment="1">
      <alignment horizontal="center" vertical="center"/>
    </xf>
    <xf numFmtId="168" fontId="49" fillId="0" borderId="6" xfId="0" applyNumberFormat="1" applyFont="1" applyBorder="1" applyAlignment="1">
      <alignment horizontal="center" vertical="center"/>
    </xf>
    <xf numFmtId="167" fontId="48" fillId="0" borderId="9" xfId="0" applyNumberFormat="1" applyFont="1" applyBorder="1" applyAlignment="1">
      <alignment horizontal="left" vertical="center"/>
    </xf>
    <xf numFmtId="167" fontId="48" fillId="0" borderId="10" xfId="0" applyNumberFormat="1" applyFont="1" applyBorder="1" applyAlignment="1">
      <alignment horizontal="left" vertical="center"/>
    </xf>
    <xf numFmtId="167" fontId="48" fillId="0" borderId="11" xfId="0" applyNumberFormat="1" applyFont="1" applyBorder="1" applyAlignment="1">
      <alignment horizontal="left" vertical="center"/>
    </xf>
    <xf numFmtId="167" fontId="48" fillId="0" borderId="3" xfId="0" applyNumberFormat="1" applyFont="1" applyBorder="1" applyAlignment="1">
      <alignment horizontal="left" vertical="center"/>
    </xf>
    <xf numFmtId="167" fontId="48" fillId="0" borderId="4" xfId="0" applyNumberFormat="1" applyFont="1" applyBorder="1" applyAlignment="1">
      <alignment horizontal="left" vertical="center"/>
    </xf>
    <xf numFmtId="167" fontId="48" fillId="0" borderId="6" xfId="0" applyNumberFormat="1" applyFont="1" applyBorder="1" applyAlignment="1">
      <alignment horizontal="left" vertical="center"/>
    </xf>
    <xf numFmtId="49" fontId="48" fillId="0" borderId="9" xfId="0" applyNumberFormat="1" applyFont="1" applyBorder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8" fillId="0" borderId="11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6" xfId="0" applyFont="1" applyBorder="1" applyAlignment="1">
      <alignment horizontal="left" vertical="center"/>
    </xf>
    <xf numFmtId="167" fontId="46" fillId="0" borderId="9" xfId="0" applyNumberFormat="1" applyFont="1" applyBorder="1" applyAlignment="1">
      <alignment horizontal="left" vertical="center"/>
    </xf>
    <xf numFmtId="167" fontId="46" fillId="0" borderId="10" xfId="0" applyNumberFormat="1" applyFont="1" applyBorder="1" applyAlignment="1">
      <alignment horizontal="left" vertical="center"/>
    </xf>
    <xf numFmtId="167" fontId="46" fillId="0" borderId="11" xfId="0" applyNumberFormat="1" applyFont="1" applyBorder="1" applyAlignment="1">
      <alignment horizontal="left" vertical="center"/>
    </xf>
    <xf numFmtId="167" fontId="46" fillId="0" borderId="3" xfId="0" applyNumberFormat="1" applyFont="1" applyBorder="1" applyAlignment="1">
      <alignment horizontal="left" vertical="center"/>
    </xf>
    <xf numFmtId="167" fontId="46" fillId="0" borderId="4" xfId="0" applyNumberFormat="1" applyFont="1" applyBorder="1" applyAlignment="1">
      <alignment horizontal="left" vertical="center"/>
    </xf>
    <xf numFmtId="167" fontId="46" fillId="0" borderId="6" xfId="0" applyNumberFormat="1" applyFont="1" applyBorder="1" applyAlignment="1">
      <alignment horizontal="left" vertical="center"/>
    </xf>
    <xf numFmtId="167" fontId="47" fillId="0" borderId="9" xfId="0" applyNumberFormat="1" applyFont="1" applyBorder="1" applyAlignment="1">
      <alignment horizontal="left" vertical="center"/>
    </xf>
    <xf numFmtId="167" fontId="47" fillId="0" borderId="10" xfId="0" applyNumberFormat="1" applyFont="1" applyBorder="1" applyAlignment="1">
      <alignment horizontal="left" vertical="center"/>
    </xf>
    <xf numFmtId="167" fontId="47" fillId="0" borderId="11" xfId="0" applyNumberFormat="1" applyFont="1" applyBorder="1" applyAlignment="1">
      <alignment horizontal="left" vertical="center"/>
    </xf>
    <xf numFmtId="167" fontId="47" fillId="0" borderId="3" xfId="0" applyNumberFormat="1" applyFont="1" applyBorder="1" applyAlignment="1">
      <alignment horizontal="left" vertical="center"/>
    </xf>
    <xf numFmtId="167" fontId="47" fillId="0" borderId="4" xfId="0" applyNumberFormat="1" applyFont="1" applyBorder="1" applyAlignment="1">
      <alignment horizontal="left" vertical="center"/>
    </xf>
    <xf numFmtId="167" fontId="47" fillId="0" borderId="6" xfId="0" applyNumberFormat="1" applyFont="1" applyBorder="1" applyAlignment="1">
      <alignment horizontal="left" vertical="center"/>
    </xf>
    <xf numFmtId="49" fontId="47" fillId="0" borderId="9" xfId="0" applyNumberFormat="1" applyFont="1" applyBorder="1" applyAlignment="1">
      <alignment horizontal="left" vertical="center"/>
    </xf>
    <xf numFmtId="0" fontId="47" fillId="0" borderId="10" xfId="0" applyFont="1" applyBorder="1" applyAlignment="1">
      <alignment horizontal="left" vertical="center"/>
    </xf>
    <xf numFmtId="0" fontId="47" fillId="0" borderId="11" xfId="0" applyFont="1" applyBorder="1" applyAlignment="1">
      <alignment horizontal="left" vertical="center"/>
    </xf>
    <xf numFmtId="0" fontId="47" fillId="0" borderId="3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47" fillId="0" borderId="6" xfId="0" applyFont="1" applyBorder="1" applyAlignment="1">
      <alignment horizontal="left" vertical="center"/>
    </xf>
    <xf numFmtId="168" fontId="47" fillId="0" borderId="9" xfId="0" applyNumberFormat="1" applyFont="1" applyBorder="1" applyAlignment="1">
      <alignment horizontal="center" vertical="center"/>
    </xf>
    <xf numFmtId="168" fontId="47" fillId="0" borderId="10" xfId="0" applyNumberFormat="1" applyFont="1" applyBorder="1" applyAlignment="1">
      <alignment horizontal="center" vertical="center"/>
    </xf>
    <xf numFmtId="168" fontId="47" fillId="0" borderId="11" xfId="0" applyNumberFormat="1" applyFont="1" applyBorder="1" applyAlignment="1">
      <alignment horizontal="center" vertical="center"/>
    </xf>
    <xf numFmtId="168" fontId="47" fillId="0" borderId="3" xfId="0" applyNumberFormat="1" applyFont="1" applyBorder="1" applyAlignment="1">
      <alignment horizontal="center" vertical="center"/>
    </xf>
    <xf numFmtId="168" fontId="47" fillId="0" borderId="4" xfId="0" applyNumberFormat="1" applyFont="1" applyBorder="1" applyAlignment="1">
      <alignment horizontal="center" vertical="center"/>
    </xf>
    <xf numFmtId="168" fontId="47" fillId="0" borderId="6" xfId="0" applyNumberFormat="1" applyFont="1" applyBorder="1" applyAlignment="1">
      <alignment horizontal="center" vertical="center"/>
    </xf>
    <xf numFmtId="168" fontId="48" fillId="0" borderId="9" xfId="0" applyNumberFormat="1" applyFont="1" applyBorder="1" applyAlignment="1">
      <alignment horizontal="center" vertical="center"/>
    </xf>
    <xf numFmtId="168" fontId="48" fillId="0" borderId="10" xfId="0" applyNumberFormat="1" applyFont="1" applyBorder="1" applyAlignment="1">
      <alignment horizontal="center" vertical="center"/>
    </xf>
    <xf numFmtId="168" fontId="48" fillId="0" borderId="11" xfId="0" applyNumberFormat="1" applyFont="1" applyBorder="1" applyAlignment="1">
      <alignment horizontal="center" vertical="center"/>
    </xf>
    <xf numFmtId="168" fontId="48" fillId="0" borderId="3" xfId="0" applyNumberFormat="1" applyFont="1" applyBorder="1" applyAlignment="1">
      <alignment horizontal="center" vertical="center"/>
    </xf>
    <xf numFmtId="168" fontId="48" fillId="0" borderId="4" xfId="0" applyNumberFormat="1" applyFont="1" applyBorder="1" applyAlignment="1">
      <alignment horizontal="center" vertical="center"/>
    </xf>
    <xf numFmtId="168" fontId="48" fillId="0" borderId="6" xfId="0" applyNumberFormat="1" applyFont="1" applyBorder="1" applyAlignment="1">
      <alignment horizontal="center" vertical="center"/>
    </xf>
    <xf numFmtId="167" fontId="54" fillId="0" borderId="9" xfId="0" applyNumberFormat="1" applyFont="1" applyBorder="1" applyAlignment="1">
      <alignment horizontal="left" vertical="center"/>
    </xf>
    <xf numFmtId="167" fontId="54" fillId="0" borderId="10" xfId="0" applyNumberFormat="1" applyFont="1" applyBorder="1" applyAlignment="1">
      <alignment horizontal="left" vertical="center"/>
    </xf>
    <xf numFmtId="167" fontId="54" fillId="0" borderId="11" xfId="0" applyNumberFormat="1" applyFont="1" applyBorder="1" applyAlignment="1">
      <alignment horizontal="left" vertical="center"/>
    </xf>
    <xf numFmtId="167" fontId="54" fillId="0" borderId="3" xfId="0" applyNumberFormat="1" applyFont="1" applyBorder="1" applyAlignment="1">
      <alignment horizontal="left" vertical="center"/>
    </xf>
    <xf numFmtId="167" fontId="54" fillId="0" borderId="4" xfId="0" applyNumberFormat="1" applyFont="1" applyBorder="1" applyAlignment="1">
      <alignment horizontal="left" vertical="center"/>
    </xf>
    <xf numFmtId="167" fontId="54" fillId="0" borderId="6" xfId="0" applyNumberFormat="1" applyFont="1" applyBorder="1" applyAlignment="1">
      <alignment horizontal="left" vertical="center"/>
    </xf>
    <xf numFmtId="49" fontId="54" fillId="0" borderId="9" xfId="0" applyNumberFormat="1" applyFont="1" applyBorder="1" applyAlignment="1">
      <alignment horizontal="left" vertical="center"/>
    </xf>
    <xf numFmtId="0" fontId="54" fillId="0" borderId="10" xfId="0" applyFont="1" applyBorder="1" applyAlignment="1">
      <alignment horizontal="left" vertical="center"/>
    </xf>
    <xf numFmtId="0" fontId="54" fillId="0" borderId="11" xfId="0" applyFont="1" applyBorder="1" applyAlignment="1">
      <alignment horizontal="left" vertical="center"/>
    </xf>
    <xf numFmtId="0" fontId="54" fillId="0" borderId="3" xfId="0" applyFont="1" applyBorder="1" applyAlignment="1">
      <alignment horizontal="left" vertical="center"/>
    </xf>
    <xf numFmtId="0" fontId="54" fillId="0" borderId="4" xfId="0" applyFont="1" applyBorder="1" applyAlignment="1">
      <alignment horizontal="left" vertical="center"/>
    </xf>
    <xf numFmtId="0" fontId="54" fillId="0" borderId="6" xfId="0" applyFont="1" applyBorder="1" applyAlignment="1">
      <alignment horizontal="left" vertical="center"/>
    </xf>
    <xf numFmtId="168" fontId="54" fillId="0" borderId="9" xfId="0" applyNumberFormat="1" applyFont="1" applyBorder="1" applyAlignment="1">
      <alignment horizontal="center" vertical="center"/>
    </xf>
    <xf numFmtId="168" fontId="54" fillId="0" borderId="10" xfId="0" applyNumberFormat="1" applyFont="1" applyBorder="1" applyAlignment="1">
      <alignment horizontal="center" vertical="center"/>
    </xf>
    <xf numFmtId="168" fontId="54" fillId="0" borderId="11" xfId="0" applyNumberFormat="1" applyFont="1" applyBorder="1" applyAlignment="1">
      <alignment horizontal="center" vertical="center"/>
    </xf>
    <xf numFmtId="168" fontId="54" fillId="0" borderId="3" xfId="0" applyNumberFormat="1" applyFont="1" applyBorder="1" applyAlignment="1">
      <alignment horizontal="center" vertical="center"/>
    </xf>
    <xf numFmtId="168" fontId="54" fillId="0" borderId="4" xfId="0" applyNumberFormat="1" applyFont="1" applyBorder="1" applyAlignment="1">
      <alignment horizontal="center" vertical="center"/>
    </xf>
    <xf numFmtId="168" fontId="54" fillId="0" borderId="6" xfId="0" applyNumberFormat="1" applyFont="1" applyBorder="1" applyAlignment="1">
      <alignment horizontal="center" vertical="center"/>
    </xf>
    <xf numFmtId="167" fontId="50" fillId="0" borderId="9" xfId="0" applyNumberFormat="1" applyFont="1" applyBorder="1" applyAlignment="1">
      <alignment horizontal="left" vertical="center"/>
    </xf>
    <xf numFmtId="167" fontId="50" fillId="0" borderId="10" xfId="0" applyNumberFormat="1" applyFont="1" applyBorder="1" applyAlignment="1">
      <alignment horizontal="left" vertical="center"/>
    </xf>
    <xf numFmtId="167" fontId="50" fillId="0" borderId="11" xfId="0" applyNumberFormat="1" applyFont="1" applyBorder="1" applyAlignment="1">
      <alignment horizontal="left" vertical="center"/>
    </xf>
    <xf numFmtId="167" fontId="50" fillId="0" borderId="3" xfId="0" applyNumberFormat="1" applyFont="1" applyBorder="1" applyAlignment="1">
      <alignment horizontal="left" vertical="center"/>
    </xf>
    <xf numFmtId="167" fontId="50" fillId="0" borderId="4" xfId="0" applyNumberFormat="1" applyFont="1" applyBorder="1" applyAlignment="1">
      <alignment horizontal="left" vertical="center"/>
    </xf>
    <xf numFmtId="167" fontId="50" fillId="0" borderId="6" xfId="0" applyNumberFormat="1" applyFont="1" applyBorder="1" applyAlignment="1">
      <alignment horizontal="left" vertical="center"/>
    </xf>
    <xf numFmtId="49" fontId="50" fillId="0" borderId="9" xfId="0" applyNumberFormat="1" applyFont="1" applyBorder="1" applyAlignment="1">
      <alignment horizontal="left" vertical="center"/>
    </xf>
    <xf numFmtId="0" fontId="50" fillId="0" borderId="10" xfId="0" applyFont="1" applyBorder="1" applyAlignment="1">
      <alignment horizontal="left" vertical="center"/>
    </xf>
    <xf numFmtId="0" fontId="50" fillId="0" borderId="11" xfId="0" applyFont="1" applyBorder="1" applyAlignment="1">
      <alignment horizontal="left" vertical="center"/>
    </xf>
    <xf numFmtId="0" fontId="50" fillId="0" borderId="3" xfId="0" applyFont="1" applyBorder="1" applyAlignment="1">
      <alignment horizontal="left" vertical="center"/>
    </xf>
    <xf numFmtId="0" fontId="50" fillId="0" borderId="4" xfId="0" applyFont="1" applyBorder="1" applyAlignment="1">
      <alignment horizontal="left" vertical="center"/>
    </xf>
    <xf numFmtId="0" fontId="50" fillId="0" borderId="6" xfId="0" applyFont="1" applyBorder="1" applyAlignment="1">
      <alignment horizontal="left" vertical="center"/>
    </xf>
    <xf numFmtId="168" fontId="50" fillId="0" borderId="9" xfId="0" applyNumberFormat="1" applyFont="1" applyBorder="1" applyAlignment="1">
      <alignment horizontal="center" vertical="center"/>
    </xf>
    <xf numFmtId="168" fontId="50" fillId="0" borderId="10" xfId="0" applyNumberFormat="1" applyFont="1" applyBorder="1" applyAlignment="1">
      <alignment horizontal="center" vertical="center"/>
    </xf>
    <xf numFmtId="168" fontId="50" fillId="0" borderId="11" xfId="0" applyNumberFormat="1" applyFont="1" applyBorder="1" applyAlignment="1">
      <alignment horizontal="center" vertical="center"/>
    </xf>
    <xf numFmtId="168" fontId="50" fillId="0" borderId="3" xfId="0" applyNumberFormat="1" applyFont="1" applyBorder="1" applyAlignment="1">
      <alignment horizontal="center" vertical="center"/>
    </xf>
    <xf numFmtId="168" fontId="50" fillId="0" borderId="4" xfId="0" applyNumberFormat="1" applyFont="1" applyBorder="1" applyAlignment="1">
      <alignment horizontal="center" vertical="center"/>
    </xf>
    <xf numFmtId="168" fontId="50" fillId="0" borderId="6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7" xfId="0" quotePrefix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33" xfId="0" applyFont="1" applyBorder="1" applyAlignment="1">
      <alignment horizontal="left" vertical="center"/>
    </xf>
    <xf numFmtId="0" fontId="42" fillId="0" borderId="28" xfId="0" applyFont="1" applyBorder="1" applyAlignment="1">
      <alignment horizontal="left" vertical="center"/>
    </xf>
    <xf numFmtId="0" fontId="42" fillId="0" borderId="32" xfId="0" applyFont="1" applyBorder="1" applyAlignment="1">
      <alignment horizontal="left" vertical="center"/>
    </xf>
    <xf numFmtId="0" fontId="42" fillId="0" borderId="33" xfId="0" quotePrefix="1" applyFont="1" applyBorder="1" applyAlignment="1">
      <alignment horizontal="left" vertical="center"/>
    </xf>
    <xf numFmtId="0" fontId="42" fillId="0" borderId="28" xfId="0" quotePrefix="1" applyFont="1" applyBorder="1" applyAlignment="1">
      <alignment horizontal="left" vertical="center"/>
    </xf>
    <xf numFmtId="0" fontId="42" fillId="0" borderId="29" xfId="0" quotePrefix="1" applyFont="1" applyBorder="1" applyAlignment="1">
      <alignment horizontal="left" vertical="center"/>
    </xf>
    <xf numFmtId="0" fontId="40" fillId="7" borderId="7" xfId="0" applyFont="1" applyFill="1" applyBorder="1" applyAlignment="1">
      <alignment horizontal="center" vertical="center"/>
    </xf>
    <xf numFmtId="0" fontId="40" fillId="7" borderId="8" xfId="0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40" fillId="7" borderId="3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quotePrefix="1" applyBorder="1" applyAlignment="1">
      <alignment horizontal="left" vertical="center"/>
    </xf>
    <xf numFmtId="0" fontId="0" fillId="0" borderId="28" xfId="0" quotePrefix="1" applyBorder="1" applyAlignment="1">
      <alignment horizontal="left" vertical="center"/>
    </xf>
    <xf numFmtId="0" fontId="0" fillId="0" borderId="29" xfId="0" quotePrefix="1" applyBorder="1" applyAlignment="1">
      <alignment horizontal="left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  <cellStyle name="パーセント" xfId="10" xr:uid="{00000000-0005-0000-0000-000006000000}"/>
    <cellStyle name="桁区切り" xfId="7" xr:uid="{00000000-0005-0000-0000-000007000000}"/>
    <cellStyle name="桁区切り [0.00]" xfId="6" xr:uid="{00000000-0005-0000-0000-000008000000}"/>
    <cellStyle name="標準_C0001_TOP画面" xfId="11" xr:uid="{00000000-0005-0000-0000-000009000000}"/>
    <cellStyle name="通貨" xfId="9" xr:uid="{00000000-0005-0000-0000-00000B000000}"/>
    <cellStyle name="通貨 [0.00]" xfId="8" xr:uid="{00000000-0005-0000-0000-00000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50021"/>
      <color rgb="FF00B0F0"/>
      <color rgb="FF0000FF"/>
      <color rgb="FFFF00FF"/>
      <color rgb="FF009900"/>
      <color rgb="FF9933FF"/>
      <color rgb="FF000099"/>
      <color rgb="FF3333CC"/>
      <color rgb="FF00CC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101945</xdr:colOff>
      <xdr:row>15</xdr:row>
      <xdr:rowOff>180718</xdr:rowOff>
    </xdr:from>
    <xdr:to>
      <xdr:col>20</xdr:col>
      <xdr:colOff>101945</xdr:colOff>
      <xdr:row>23</xdr:row>
      <xdr:rowOff>90354</xdr:rowOff>
    </xdr:to>
    <xdr:cxnSp macro="">
      <xdr:nvCxnSpPr>
        <xdr:cNvPr id="25" name="直線矢印コネクタ 4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43" idx="2"/>
          <a:endCxn id="73" idx="0"/>
        </xdr:cNvCxnSpPr>
      </xdr:nvCxnSpPr>
      <xdr:spPr>
        <a:xfrm>
          <a:off x="4808416" y="3150277"/>
          <a:ext cx="0" cy="29576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76766</xdr:colOff>
      <xdr:row>42</xdr:row>
      <xdr:rowOff>26854</xdr:rowOff>
    </xdr:from>
    <xdr:to>
      <xdr:col>24</xdr:col>
      <xdr:colOff>152524</xdr:colOff>
      <xdr:row>45</xdr:row>
      <xdr:rowOff>26854</xdr:rowOff>
    </xdr:to>
    <xdr:sp macro="" textlink="">
      <xdr:nvSpPr>
        <xdr:cNvPr id="30" name="四角形: 角を丸くする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937566" y="129173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4.</a:t>
          </a:r>
          <a:r>
            <a:rPr kumimoji="1" lang="vi-VN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 </a:t>
          </a:r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Tạo mảng response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195734</xdr:colOff>
      <xdr:row>7</xdr:row>
      <xdr:rowOff>109817</xdr:rowOff>
    </xdr:from>
    <xdr:to>
      <xdr:col>24</xdr:col>
      <xdr:colOff>5315</xdr:colOff>
      <xdr:row>10</xdr:row>
      <xdr:rowOff>5042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4056534" y="8809317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START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212170</xdr:colOff>
      <xdr:row>47</xdr:row>
      <xdr:rowOff>108315</xdr:rowOff>
    </xdr:from>
    <xdr:to>
      <xdr:col>24</xdr:col>
      <xdr:colOff>21751</xdr:colOff>
      <xdr:row>49</xdr:row>
      <xdr:rowOff>117840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4072970" y="14027515"/>
          <a:ext cx="1739981" cy="466725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+mn-cs"/>
            </a:rPr>
            <a:t>END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100524</xdr:colOff>
      <xdr:row>10</xdr:row>
      <xdr:rowOff>5042</xdr:rowOff>
    </xdr:from>
    <xdr:to>
      <xdr:col>20</xdr:col>
      <xdr:colOff>101945</xdr:colOff>
      <xdr:row>12</xdr:row>
      <xdr:rowOff>180718</xdr:rowOff>
    </xdr:to>
    <xdr:cxnSp macro="">
      <xdr:nvCxnSpPr>
        <xdr:cNvPr id="36" name="直線矢印コネクタ 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4" idx="4"/>
          <a:endCxn id="43" idx="0"/>
        </xdr:cNvCxnSpPr>
      </xdr:nvCxnSpPr>
      <xdr:spPr>
        <a:xfrm>
          <a:off x="4926524" y="9276042"/>
          <a:ext cx="1421" cy="55667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114645</xdr:colOff>
      <xdr:row>45</xdr:row>
      <xdr:rowOff>26854</xdr:rowOff>
    </xdr:from>
    <xdr:to>
      <xdr:col>20</xdr:col>
      <xdr:colOff>116961</xdr:colOff>
      <xdr:row>47</xdr:row>
      <xdr:rowOff>108315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30" idx="2"/>
          <a:endCxn id="35" idx="0"/>
        </xdr:cNvCxnSpPr>
      </xdr:nvCxnSpPr>
      <xdr:spPr>
        <a:xfrm>
          <a:off x="4940645" y="13488854"/>
          <a:ext cx="2316" cy="5386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64066</xdr:colOff>
      <xdr:row>12</xdr:row>
      <xdr:rowOff>180718</xdr:rowOff>
    </xdr:from>
    <xdr:to>
      <xdr:col>24</xdr:col>
      <xdr:colOff>139824</xdr:colOff>
      <xdr:row>15</xdr:row>
      <xdr:rowOff>180718</xdr:rowOff>
    </xdr:to>
    <xdr:sp macro="" textlink="">
      <xdr:nvSpPr>
        <xdr:cNvPr id="43" name="四角形: 角を丸くする 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924866" y="9832718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1</a:t>
          </a:r>
          <a:r>
            <a:rPr kumimoji="1" lang="vi-VN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. </a:t>
          </a:r>
          <a:r>
            <a:rPr kumimoji="1" lang="en-US" altLang="ja-JP" sz="1100">
              <a:solidFill>
                <a:sysClr val="windowText" lastClr="000000"/>
              </a:solidFill>
              <a:latin typeface="Calibri" panose="020F0502020204030204" pitchFamily="34" charset="0"/>
            </a:rPr>
            <a:t>Validate parameter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16</xdr:col>
      <xdr:colOff>64066</xdr:colOff>
      <xdr:row>23</xdr:row>
      <xdr:rowOff>90354</xdr:rowOff>
    </xdr:from>
    <xdr:to>
      <xdr:col>24</xdr:col>
      <xdr:colOff>139824</xdr:colOff>
      <xdr:row>26</xdr:row>
      <xdr:rowOff>90354</xdr:rowOff>
    </xdr:to>
    <xdr:sp macro="" textlink="">
      <xdr:nvSpPr>
        <xdr:cNvPr id="73" name="四角形: 角を丸くする 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3924866" y="10313854"/>
          <a:ext cx="2006158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2. Get thông tin chi tiết nhân viên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101945</xdr:colOff>
      <xdr:row>26</xdr:row>
      <xdr:rowOff>90354</xdr:rowOff>
    </xdr:from>
    <xdr:to>
      <xdr:col>20</xdr:col>
      <xdr:colOff>114645</xdr:colOff>
      <xdr:row>42</xdr:row>
      <xdr:rowOff>26854</xdr:rowOff>
    </xdr:to>
    <xdr:cxnSp macro="">
      <xdr:nvCxnSpPr>
        <xdr:cNvPr id="47" name="直線矢印コネクタ 42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CxnSpPr>
          <a:cxnSpLocks/>
          <a:stCxn id="73" idx="2"/>
          <a:endCxn id="30" idx="0"/>
        </xdr:cNvCxnSpPr>
      </xdr:nvCxnSpPr>
      <xdr:spPr>
        <a:xfrm>
          <a:off x="4808416" y="6679413"/>
          <a:ext cx="12700" cy="6223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18</xdr:row>
      <xdr:rowOff>114300</xdr:rowOff>
    </xdr:from>
    <xdr:to>
      <xdr:col>11</xdr:col>
      <xdr:colOff>59821</xdr:colOff>
      <xdr:row>31</xdr:row>
      <xdr:rowOff>0</xdr:rowOff>
    </xdr:to>
    <xdr:sp macro="" textlink="">
      <xdr:nvSpPr>
        <xdr:cNvPr id="69" name="フローチャート : 磁気ディスク 3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571500" y="5194300"/>
          <a:ext cx="2142621" cy="2463800"/>
        </a:xfrm>
        <a:prstGeom prst="flowChartMagneticDisk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</a:t>
          </a: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departments</a:t>
          </a: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certifications</a:t>
          </a:r>
        </a:p>
        <a:p>
          <a:r>
            <a:rPr kumimoji="1"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employees_certifications</a:t>
          </a:r>
        </a:p>
      </xdr:txBody>
    </xdr:sp>
    <xdr:clientData/>
  </xdr:twoCellAnchor>
  <xdr:twoCellAnchor>
    <xdr:from>
      <xdr:col>11</xdr:col>
      <xdr:colOff>59821</xdr:colOff>
      <xdr:row>24</xdr:row>
      <xdr:rowOff>185604</xdr:rowOff>
    </xdr:from>
    <xdr:to>
      <xdr:col>16</xdr:col>
      <xdr:colOff>64066</xdr:colOff>
      <xdr:row>25</xdr:row>
      <xdr:rowOff>12700</xdr:rowOff>
    </xdr:to>
    <xdr:cxnSp macro="">
      <xdr:nvCxnSpPr>
        <xdr:cNvPr id="70" name="曲線コネクタ 4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stCxn id="69" idx="4"/>
          <a:endCxn id="73" idx="1"/>
        </xdr:cNvCxnSpPr>
      </xdr:nvCxnSpPr>
      <xdr:spPr>
        <a:xfrm flipV="1">
          <a:off x="2714121" y="6408604"/>
          <a:ext cx="1210745" cy="17596"/>
        </a:xfrm>
        <a:prstGeom prst="curvedConnector3">
          <a:avLst>
            <a:gd name="adj1" fmla="val 50000"/>
          </a:avLst>
        </a:prstGeom>
        <a:ln w="1270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81249</xdr:colOff>
      <xdr:row>30</xdr:row>
      <xdr:rowOff>183736</xdr:rowOff>
    </xdr:from>
    <xdr:to>
      <xdr:col>24</xdr:col>
      <xdr:colOff>157007</xdr:colOff>
      <xdr:row>33</xdr:row>
      <xdr:rowOff>183736</xdr:rowOff>
    </xdr:to>
    <xdr:sp macro="" textlink="">
      <xdr:nvSpPr>
        <xdr:cNvPr id="2" name="四角形: 角を丸くする 2">
          <a:extLst>
            <a:ext uri="{FF2B5EF4-FFF2-40B4-BE49-F238E27FC236}">
              <a16:creationId xmlns:a16="http://schemas.microsoft.com/office/drawing/2014/main" id="{558B15B1-4765-402D-B2B3-929C4B24B5FE}"/>
            </a:ext>
          </a:extLst>
        </xdr:cNvPr>
        <xdr:cNvSpPr/>
      </xdr:nvSpPr>
      <xdr:spPr>
        <a:xfrm>
          <a:off x="3846425" y="6010795"/>
          <a:ext cx="1958347" cy="571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solidFill>
                <a:sysClr val="windowText" lastClr="000000"/>
              </a:solidFill>
              <a:latin typeface="Calibri" panose="020F0502020204030204" pitchFamily="34" charset="0"/>
            </a:rPr>
            <a:t>3. Get thông tin chứng chỉ tiếng Nhật</a:t>
          </a:r>
          <a:endParaRPr kumimoji="1" lang="ja-JP" altLang="en-US" sz="1100">
            <a:solidFill>
              <a:sysClr val="windowText" lastClr="000000"/>
            </a:solidFill>
            <a:latin typeface="Calibri" panose="020F0502020204030204" pitchFamily="34" charset="0"/>
          </a:endParaRPr>
        </a:p>
      </xdr:txBody>
    </xdr:sp>
    <xdr:clientData/>
  </xdr:twoCellAnchor>
  <xdr:twoCellAnchor>
    <xdr:from>
      <xdr:col>11</xdr:col>
      <xdr:colOff>33617</xdr:colOff>
      <xdr:row>25</xdr:row>
      <xdr:rowOff>112059</xdr:rowOff>
    </xdr:from>
    <xdr:to>
      <xdr:col>16</xdr:col>
      <xdr:colOff>81249</xdr:colOff>
      <xdr:row>32</xdr:row>
      <xdr:rowOff>88486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BCD28E-CCAA-0059-12B6-BB824298F70B}"/>
            </a:ext>
          </a:extLst>
        </xdr:cNvPr>
        <xdr:cNvCxnSpPr>
          <a:stCxn id="2" idx="1"/>
        </xdr:cNvCxnSpPr>
      </xdr:nvCxnSpPr>
      <xdr:spPr>
        <a:xfrm flipH="1" flipV="1">
          <a:off x="2622176" y="4986618"/>
          <a:ext cx="1224249" cy="13099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55"/>
  <sheetViews>
    <sheetView showGridLines="0" tabSelected="1" view="pageBreakPreview" zoomScaleNormal="75" zoomScaleSheetLayoutView="100" workbookViewId="0">
      <selection sqref="A1:J1"/>
    </sheetView>
  </sheetViews>
  <sheetFormatPr defaultColWidth="9" defaultRowHeight="15.75"/>
  <cols>
    <col min="1" max="63" width="2.77734375" customWidth="1"/>
  </cols>
  <sheetData>
    <row r="1" spans="1:63" ht="24.95" customHeight="1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20"/>
      <c r="K1" s="318" t="s">
        <v>26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30" t="s">
        <v>24</v>
      </c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2"/>
      <c r="AP1" s="318" t="s">
        <v>18</v>
      </c>
      <c r="AQ1" s="319"/>
      <c r="AR1" s="319"/>
      <c r="AS1" s="320"/>
      <c r="AT1" s="318" t="s">
        <v>19</v>
      </c>
      <c r="AU1" s="319"/>
      <c r="AV1" s="319"/>
      <c r="AW1" s="319"/>
      <c r="AX1" s="320"/>
      <c r="AY1" s="318" t="s">
        <v>20</v>
      </c>
      <c r="AZ1" s="319"/>
      <c r="BA1" s="319"/>
      <c r="BB1" s="320"/>
      <c r="BC1" s="318" t="s">
        <v>21</v>
      </c>
      <c r="BD1" s="319"/>
      <c r="BE1" s="319"/>
      <c r="BF1" s="319"/>
      <c r="BG1" s="320"/>
      <c r="BH1" s="318" t="s">
        <v>2</v>
      </c>
      <c r="BI1" s="319"/>
      <c r="BJ1" s="319"/>
      <c r="BK1" s="320"/>
    </row>
    <row r="2" spans="1:63" ht="15" customHeight="1">
      <c r="A2" s="329" t="s">
        <v>91</v>
      </c>
      <c r="B2" s="310"/>
      <c r="C2" s="310"/>
      <c r="D2" s="310"/>
      <c r="E2" s="310"/>
      <c r="F2" s="310"/>
      <c r="G2" s="310"/>
      <c r="H2" s="310"/>
      <c r="I2" s="310"/>
      <c r="J2" s="311"/>
      <c r="K2" s="329" t="s">
        <v>205</v>
      </c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1"/>
      <c r="W2" s="333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09" t="s">
        <v>92</v>
      </c>
      <c r="AQ2" s="310"/>
      <c r="AR2" s="310"/>
      <c r="AS2" s="311"/>
      <c r="AT2" s="321">
        <v>44930</v>
      </c>
      <c r="AU2" s="322"/>
      <c r="AV2" s="322"/>
      <c r="AW2" s="322"/>
      <c r="AX2" s="323"/>
      <c r="AY2" s="309" t="str">
        <f>LOOKUP(2,1/('Lịch sử thay đổi'!H:H&lt;&gt;""),'Lịch sử thay đổi'!H:H)</f>
        <v>ThanhPD</v>
      </c>
      <c r="AZ2" s="310"/>
      <c r="BA2" s="310"/>
      <c r="BB2" s="311"/>
      <c r="BC2" s="321">
        <f>LOOKUP(2,1/('Lịch sử thay đổi'!B:B&lt;&gt;""),'Lịch sử thay đổi'!B:B)</f>
        <v>44930</v>
      </c>
      <c r="BD2" s="322"/>
      <c r="BE2" s="322"/>
      <c r="BF2" s="322"/>
      <c r="BG2" s="323"/>
      <c r="BH2" s="309">
        <f>LOOKUP(2,1/('Lịch sử thay đổi'!O:O&lt;&gt;""),'Lịch sử thay đổi'!O:O)</f>
        <v>0.1</v>
      </c>
      <c r="BI2" s="310"/>
      <c r="BJ2" s="310"/>
      <c r="BK2" s="311"/>
    </row>
    <row r="3" spans="1:63" ht="15" customHeight="1">
      <c r="A3" s="315"/>
      <c r="B3" s="316"/>
      <c r="C3" s="316"/>
      <c r="D3" s="316"/>
      <c r="E3" s="316"/>
      <c r="F3" s="316"/>
      <c r="G3" s="316"/>
      <c r="H3" s="316"/>
      <c r="I3" s="316"/>
      <c r="J3" s="317"/>
      <c r="K3" s="315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7"/>
      <c r="W3" s="336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8"/>
      <c r="AP3" s="315"/>
      <c r="AQ3" s="316"/>
      <c r="AR3" s="316"/>
      <c r="AS3" s="317"/>
      <c r="AT3" s="324"/>
      <c r="AU3" s="325"/>
      <c r="AV3" s="325"/>
      <c r="AW3" s="325"/>
      <c r="AX3" s="326"/>
      <c r="AY3" s="315"/>
      <c r="AZ3" s="316"/>
      <c r="BA3" s="316"/>
      <c r="BB3" s="317"/>
      <c r="BC3" s="324"/>
      <c r="BD3" s="325"/>
      <c r="BE3" s="325"/>
      <c r="BF3" s="325"/>
      <c r="BG3" s="326"/>
      <c r="BH3" s="315"/>
      <c r="BI3" s="316"/>
      <c r="BJ3" s="316"/>
      <c r="BK3" s="317"/>
    </row>
    <row r="4" spans="1:63" ht="24.95" customHeight="1">
      <c r="A4" s="318" t="s">
        <v>17</v>
      </c>
      <c r="B4" s="319"/>
      <c r="C4" s="319"/>
      <c r="D4" s="319"/>
      <c r="E4" s="319"/>
      <c r="F4" s="319"/>
      <c r="G4" s="320"/>
      <c r="H4" s="342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1"/>
      <c r="U4" s="318" t="s">
        <v>22</v>
      </c>
      <c r="V4" s="319"/>
      <c r="W4" s="319"/>
      <c r="X4" s="319"/>
      <c r="Y4" s="320"/>
      <c r="Z4" s="342" t="s">
        <v>128</v>
      </c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1"/>
      <c r="AP4" s="339" t="s">
        <v>23</v>
      </c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0"/>
      <c r="BC4" s="340"/>
      <c r="BD4" s="340"/>
      <c r="BE4" s="340"/>
      <c r="BF4" s="340"/>
      <c r="BG4" s="340"/>
      <c r="BH4" s="340"/>
      <c r="BI4" s="340"/>
      <c r="BJ4" s="340"/>
      <c r="BK4" s="34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8"/>
      <c r="BK6" s="11"/>
    </row>
    <row r="7" spans="1:63" ht="15" customHeight="1">
      <c r="A7" s="8"/>
      <c r="BK7" s="11"/>
    </row>
    <row r="8" spans="1:63" ht="15" customHeight="1">
      <c r="A8" s="8"/>
      <c r="BK8" s="11"/>
    </row>
    <row r="9" spans="1:63" ht="15" customHeight="1">
      <c r="A9" s="8"/>
      <c r="BK9" s="11"/>
    </row>
    <row r="10" spans="1:63" ht="15" customHeight="1">
      <c r="A10" s="8"/>
      <c r="BK10" s="11"/>
    </row>
    <row r="11" spans="1:63" ht="15" customHeight="1">
      <c r="A11" s="8"/>
      <c r="BK11" s="11"/>
    </row>
    <row r="12" spans="1:63" ht="15" customHeight="1">
      <c r="A12" s="8"/>
      <c r="BK12" s="11"/>
    </row>
    <row r="13" spans="1:63" ht="15" customHeight="1">
      <c r="A13" s="8"/>
      <c r="BK13" s="11"/>
    </row>
    <row r="14" spans="1:63" ht="15" customHeight="1">
      <c r="A14" s="8"/>
      <c r="BK14" s="11"/>
    </row>
    <row r="15" spans="1:63" ht="15" customHeight="1">
      <c r="A15" s="8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8"/>
      <c r="BK15" s="11"/>
    </row>
    <row r="16" spans="1:63" ht="15" customHeight="1">
      <c r="A16" s="8"/>
      <c r="K16" s="13"/>
      <c r="L16" s="327" t="s">
        <v>91</v>
      </c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328"/>
      <c r="AV16" s="328"/>
      <c r="AW16" s="328"/>
      <c r="AX16" s="328"/>
      <c r="AY16" s="328"/>
      <c r="AZ16" s="328"/>
      <c r="BA16" s="19"/>
      <c r="BK16" s="11"/>
    </row>
    <row r="17" spans="1:63" ht="15" customHeight="1">
      <c r="A17" s="8"/>
      <c r="K17" s="13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328"/>
      <c r="AV17" s="328"/>
      <c r="AW17" s="328"/>
      <c r="AX17" s="328"/>
      <c r="AY17" s="328"/>
      <c r="AZ17" s="328"/>
      <c r="BA17" s="19"/>
      <c r="BK17" s="11"/>
    </row>
    <row r="18" spans="1:63" ht="15" customHeight="1">
      <c r="A18" s="8"/>
      <c r="K18" s="13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19"/>
      <c r="BK18" s="11"/>
    </row>
    <row r="19" spans="1:63" ht="15" customHeight="1">
      <c r="A19" s="8"/>
      <c r="K19" s="13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328"/>
      <c r="AV19" s="328"/>
      <c r="AW19" s="328"/>
      <c r="AX19" s="328"/>
      <c r="AY19" s="328"/>
      <c r="AZ19" s="328"/>
      <c r="BA19" s="19"/>
      <c r="BK19" s="11"/>
    </row>
    <row r="20" spans="1:63" ht="15" customHeight="1">
      <c r="A20" s="8"/>
      <c r="K20" s="13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19"/>
      <c r="BK20" s="11"/>
    </row>
    <row r="21" spans="1:63" ht="15" customHeight="1">
      <c r="A21" s="8"/>
      <c r="K21" s="13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328"/>
      <c r="AV21" s="328"/>
      <c r="AW21" s="328"/>
      <c r="AX21" s="328"/>
      <c r="AY21" s="328"/>
      <c r="AZ21" s="328"/>
      <c r="BA21" s="19"/>
      <c r="BK21" s="11"/>
    </row>
    <row r="22" spans="1:63" ht="15" customHeight="1">
      <c r="A22" s="8"/>
      <c r="K22" s="1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19"/>
      <c r="BK22" s="11"/>
    </row>
    <row r="23" spans="1:63" ht="15" customHeight="1">
      <c r="A23" s="8"/>
      <c r="K23" s="1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19"/>
      <c r="BK23" s="11"/>
    </row>
    <row r="24" spans="1:63" ht="15" customHeight="1">
      <c r="A24" s="8"/>
      <c r="K24" s="13"/>
      <c r="L24" s="328" t="str">
        <f>K2&amp;"/"&amp;H4&amp;"/"&amp;Z4</f>
        <v>Thiết kế API//Get employee</v>
      </c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328"/>
      <c r="AV24" s="328"/>
      <c r="AW24" s="328"/>
      <c r="AX24" s="328"/>
      <c r="AY24" s="328"/>
      <c r="AZ24" s="328"/>
      <c r="BA24" s="19"/>
      <c r="BK24" s="11"/>
    </row>
    <row r="25" spans="1:63" ht="15" customHeight="1">
      <c r="A25" s="8"/>
      <c r="K25" s="13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  <c r="AA25" s="328"/>
      <c r="AB25" s="328"/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328"/>
      <c r="AV25" s="328"/>
      <c r="AW25" s="328"/>
      <c r="AX25" s="328"/>
      <c r="AY25" s="328"/>
      <c r="AZ25" s="328"/>
      <c r="BA25" s="19"/>
      <c r="BK25" s="11"/>
    </row>
    <row r="26" spans="1:63" ht="15" customHeight="1">
      <c r="A26" s="8"/>
      <c r="K26" s="13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19"/>
      <c r="BK26" s="11"/>
    </row>
    <row r="27" spans="1:63" ht="15" customHeight="1">
      <c r="A27" s="8"/>
      <c r="K27" s="13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328"/>
      <c r="AV27" s="328"/>
      <c r="AW27" s="328"/>
      <c r="AX27" s="328"/>
      <c r="AY27" s="328"/>
      <c r="AZ27" s="328"/>
      <c r="BA27" s="19"/>
      <c r="BK27" s="11"/>
    </row>
    <row r="28" spans="1:63" ht="15" customHeight="1">
      <c r="A28" s="8"/>
      <c r="K28" s="13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  <c r="AA28" s="328"/>
      <c r="AB28" s="328"/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328"/>
      <c r="AV28" s="328"/>
      <c r="AW28" s="328"/>
      <c r="AX28" s="328"/>
      <c r="AY28" s="328"/>
      <c r="AZ28" s="328"/>
      <c r="BA28" s="19"/>
      <c r="BK28" s="11"/>
    </row>
    <row r="29" spans="1:63" ht="15" customHeight="1">
      <c r="A29" s="8"/>
      <c r="K29" s="13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  <c r="AA29" s="328"/>
      <c r="AB29" s="328"/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328"/>
      <c r="AV29" s="328"/>
      <c r="AW29" s="328"/>
      <c r="AX29" s="328"/>
      <c r="AY29" s="328"/>
      <c r="AZ29" s="328"/>
      <c r="BA29" s="19"/>
      <c r="BK29" s="11"/>
    </row>
    <row r="30" spans="1:63" ht="15" customHeight="1">
      <c r="A30" s="8"/>
      <c r="K30" s="13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328"/>
      <c r="AV30" s="328"/>
      <c r="AW30" s="328"/>
      <c r="AX30" s="328"/>
      <c r="AY30" s="328"/>
      <c r="AZ30" s="328"/>
      <c r="BA30" s="19"/>
      <c r="BK30" s="11"/>
    </row>
    <row r="31" spans="1:63" ht="15" customHeight="1">
      <c r="A31" s="8"/>
      <c r="K31" s="13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  <c r="AA31" s="328"/>
      <c r="AB31" s="328"/>
      <c r="AC31" s="328"/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328"/>
      <c r="AV31" s="328"/>
      <c r="AW31" s="328"/>
      <c r="AX31" s="328"/>
      <c r="AY31" s="328"/>
      <c r="AZ31" s="328"/>
      <c r="BA31" s="19"/>
      <c r="BK31" s="11"/>
    </row>
    <row r="32" spans="1:63" ht="15" customHeight="1">
      <c r="A32" s="8"/>
      <c r="K32" s="13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  <c r="AA32" s="328"/>
      <c r="AB32" s="328"/>
      <c r="AC32" s="328"/>
      <c r="AD32" s="328"/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328"/>
      <c r="AU32" s="328"/>
      <c r="AV32" s="328"/>
      <c r="AW32" s="328"/>
      <c r="AX32" s="328"/>
      <c r="AY32" s="328"/>
      <c r="AZ32" s="328"/>
      <c r="BA32" s="19"/>
      <c r="BK32" s="11"/>
    </row>
    <row r="33" spans="1:63" ht="15" customHeight="1">
      <c r="A33" s="8"/>
      <c r="K33" s="13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  <c r="AA33" s="328"/>
      <c r="AB33" s="328"/>
      <c r="AC33" s="328"/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328"/>
      <c r="AU33" s="328"/>
      <c r="AV33" s="328"/>
      <c r="AW33" s="328"/>
      <c r="AX33" s="328"/>
      <c r="AY33" s="328"/>
      <c r="AZ33" s="328"/>
      <c r="BA33" s="19"/>
      <c r="BK33" s="11"/>
    </row>
    <row r="34" spans="1:63" ht="15" customHeight="1">
      <c r="A34" s="8"/>
      <c r="K34" s="13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328"/>
      <c r="AV34" s="328"/>
      <c r="AW34" s="328"/>
      <c r="AX34" s="328"/>
      <c r="AY34" s="328"/>
      <c r="AZ34" s="328"/>
      <c r="BA34" s="19"/>
      <c r="BK34" s="11"/>
    </row>
    <row r="35" spans="1:63" ht="15" customHeight="1">
      <c r="A35" s="8"/>
      <c r="K35" s="13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328"/>
      <c r="AV35" s="328"/>
      <c r="AW35" s="328"/>
      <c r="AX35" s="328"/>
      <c r="AY35" s="328"/>
      <c r="AZ35" s="328"/>
      <c r="BA35" s="19"/>
      <c r="BK35" s="11"/>
    </row>
    <row r="36" spans="1:63" ht="15" customHeight="1">
      <c r="A36" s="8"/>
      <c r="K36" s="13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  <c r="AA36" s="328"/>
      <c r="AB36" s="328"/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328"/>
      <c r="AV36" s="328"/>
      <c r="AW36" s="328"/>
      <c r="AX36" s="328"/>
      <c r="AY36" s="328"/>
      <c r="AZ36" s="328"/>
      <c r="BA36" s="19"/>
      <c r="BK36" s="11"/>
    </row>
    <row r="37" spans="1:63" ht="15" customHeight="1">
      <c r="A37" s="8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20"/>
      <c r="BK37" s="11"/>
    </row>
    <row r="38" spans="1:63" ht="15" customHeight="1">
      <c r="A38" s="8"/>
      <c r="BK38" s="11"/>
    </row>
    <row r="39" spans="1:63" ht="15" customHeight="1">
      <c r="A39" s="8"/>
      <c r="BK39" s="11"/>
    </row>
    <row r="40" spans="1:63" ht="15" customHeight="1">
      <c r="A40" s="8"/>
      <c r="BK40" s="11"/>
    </row>
    <row r="41" spans="1:63" ht="15" customHeight="1">
      <c r="A41" s="8"/>
      <c r="BK41" s="11"/>
    </row>
    <row r="42" spans="1:63" ht="15" customHeight="1">
      <c r="A42" s="8"/>
      <c r="BK42" s="11"/>
    </row>
    <row r="43" spans="1:63" ht="15" customHeight="1">
      <c r="A43" s="8"/>
      <c r="BK43" s="11"/>
    </row>
    <row r="44" spans="1:63" ht="1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03" t="s">
        <v>42</v>
      </c>
      <c r="R44" s="304"/>
      <c r="S44" s="304"/>
      <c r="T44" s="304"/>
      <c r="U44" s="304"/>
      <c r="V44" s="304"/>
      <c r="W44" s="304"/>
      <c r="X44" s="304"/>
      <c r="Y44" s="304"/>
      <c r="Z44" s="305"/>
      <c r="AA44" s="303" t="s">
        <v>43</v>
      </c>
      <c r="AB44" s="304"/>
      <c r="AC44" s="304"/>
      <c r="AD44" s="304"/>
      <c r="AE44" s="304"/>
      <c r="AF44" s="304"/>
      <c r="AG44" s="304"/>
      <c r="AH44" s="304"/>
      <c r="AI44" s="304"/>
      <c r="AJ44" s="304"/>
      <c r="AK44" s="304"/>
      <c r="AL44" s="304"/>
      <c r="AM44" s="304"/>
      <c r="AN44" s="304"/>
      <c r="AO44" s="304"/>
      <c r="AP44" s="305"/>
      <c r="AQ44" s="303" t="s">
        <v>44</v>
      </c>
      <c r="AR44" s="304"/>
      <c r="AS44" s="304"/>
      <c r="AT44" s="304"/>
      <c r="AU44" s="305"/>
      <c r="AV44" s="32"/>
      <c r="AW44" s="32"/>
      <c r="AX44" s="32"/>
      <c r="AY44" s="32"/>
      <c r="AZ44" s="32"/>
      <c r="BA44" s="32"/>
      <c r="BB44" s="32"/>
      <c r="BK44" s="11"/>
    </row>
    <row r="45" spans="1:63" ht="1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06"/>
      <c r="R45" s="307"/>
      <c r="S45" s="307"/>
      <c r="T45" s="307"/>
      <c r="U45" s="307"/>
      <c r="V45" s="307"/>
      <c r="W45" s="307"/>
      <c r="X45" s="307"/>
      <c r="Y45" s="307"/>
      <c r="Z45" s="308"/>
      <c r="AA45" s="306"/>
      <c r="AB45" s="307"/>
      <c r="AC45" s="307"/>
      <c r="AD45" s="307"/>
      <c r="AE45" s="307"/>
      <c r="AF45" s="307"/>
      <c r="AG45" s="307"/>
      <c r="AH45" s="307"/>
      <c r="AI45" s="307"/>
      <c r="AJ45" s="307"/>
      <c r="AK45" s="307"/>
      <c r="AL45" s="307"/>
      <c r="AM45" s="307"/>
      <c r="AN45" s="307"/>
      <c r="AO45" s="307"/>
      <c r="AP45" s="308"/>
      <c r="AQ45" s="306"/>
      <c r="AR45" s="307"/>
      <c r="AS45" s="307"/>
      <c r="AT45" s="307"/>
      <c r="AU45" s="308"/>
      <c r="AV45" s="32"/>
      <c r="AW45" s="32"/>
      <c r="AX45" s="32"/>
      <c r="AY45" s="32"/>
      <c r="AZ45" s="32"/>
      <c r="BA45" s="32"/>
      <c r="BB45" s="32"/>
      <c r="BK45" s="11"/>
    </row>
    <row r="46" spans="1:63" ht="1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09"/>
      <c r="R46" s="310"/>
      <c r="S46" s="310"/>
      <c r="T46" s="310"/>
      <c r="U46" s="310"/>
      <c r="V46" s="310"/>
      <c r="W46" s="310"/>
      <c r="X46" s="310"/>
      <c r="Y46" s="310"/>
      <c r="Z46" s="311"/>
      <c r="AA46" s="309"/>
      <c r="AB46" s="310"/>
      <c r="AC46" s="310"/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1"/>
      <c r="AQ46" s="309"/>
      <c r="AR46" s="310"/>
      <c r="AS46" s="310"/>
      <c r="AT46" s="310"/>
      <c r="AU46" s="311"/>
      <c r="AV46" s="32"/>
      <c r="AW46" s="32"/>
      <c r="AX46" s="32"/>
      <c r="AY46" s="32"/>
      <c r="AZ46" s="32"/>
      <c r="BA46" s="32"/>
      <c r="BB46" s="32"/>
      <c r="BK46" s="11"/>
    </row>
    <row r="47" spans="1:63" ht="15" customHeight="1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12"/>
      <c r="R47" s="313"/>
      <c r="S47" s="313"/>
      <c r="T47" s="313"/>
      <c r="U47" s="313"/>
      <c r="V47" s="313"/>
      <c r="W47" s="313"/>
      <c r="X47" s="313"/>
      <c r="Y47" s="313"/>
      <c r="Z47" s="314"/>
      <c r="AA47" s="312"/>
      <c r="AB47" s="313"/>
      <c r="AC47" s="313"/>
      <c r="AD47" s="313"/>
      <c r="AE47" s="313"/>
      <c r="AF47" s="313"/>
      <c r="AG47" s="313"/>
      <c r="AH47" s="313"/>
      <c r="AI47" s="313"/>
      <c r="AJ47" s="313"/>
      <c r="AK47" s="313"/>
      <c r="AL47" s="313"/>
      <c r="AM47" s="313"/>
      <c r="AN47" s="313"/>
      <c r="AO47" s="313"/>
      <c r="AP47" s="314"/>
      <c r="AQ47" s="312"/>
      <c r="AR47" s="313"/>
      <c r="AS47" s="313"/>
      <c r="AT47" s="313"/>
      <c r="AU47" s="314"/>
      <c r="AV47" s="32"/>
      <c r="AW47" s="32"/>
      <c r="AX47" s="32"/>
      <c r="AY47" s="32"/>
      <c r="AZ47" s="32"/>
      <c r="BA47" s="32"/>
      <c r="BB47" s="32"/>
      <c r="BK47" s="11"/>
    </row>
    <row r="48" spans="1:63" ht="15" customHeight="1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12"/>
      <c r="R48" s="313"/>
      <c r="S48" s="313"/>
      <c r="T48" s="313"/>
      <c r="U48" s="313"/>
      <c r="V48" s="313"/>
      <c r="W48" s="313"/>
      <c r="X48" s="313"/>
      <c r="Y48" s="313"/>
      <c r="Z48" s="314"/>
      <c r="AA48" s="312"/>
      <c r="AB48" s="313"/>
      <c r="AC48" s="313"/>
      <c r="AD48" s="313"/>
      <c r="AE48" s="313"/>
      <c r="AF48" s="313"/>
      <c r="AG48" s="313"/>
      <c r="AH48" s="313"/>
      <c r="AI48" s="313"/>
      <c r="AJ48" s="313"/>
      <c r="AK48" s="313"/>
      <c r="AL48" s="313"/>
      <c r="AM48" s="313"/>
      <c r="AN48" s="313"/>
      <c r="AO48" s="313"/>
      <c r="AP48" s="314"/>
      <c r="AQ48" s="312"/>
      <c r="AR48" s="313"/>
      <c r="AS48" s="313"/>
      <c r="AT48" s="313"/>
      <c r="AU48" s="314"/>
      <c r="AV48" s="32"/>
      <c r="AW48" s="32"/>
      <c r="AX48" s="32"/>
      <c r="AY48" s="32"/>
      <c r="AZ48" s="32"/>
      <c r="BA48" s="32"/>
      <c r="BB48" s="32"/>
      <c r="BK48" s="11"/>
    </row>
    <row r="49" spans="1:63" ht="1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15"/>
      <c r="R49" s="316"/>
      <c r="S49" s="316"/>
      <c r="T49" s="316"/>
      <c r="U49" s="316"/>
      <c r="V49" s="316"/>
      <c r="W49" s="316"/>
      <c r="X49" s="316"/>
      <c r="Y49" s="316"/>
      <c r="Z49" s="317"/>
      <c r="AA49" s="315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  <c r="AN49" s="316"/>
      <c r="AO49" s="316"/>
      <c r="AP49" s="317"/>
      <c r="AQ49" s="315"/>
      <c r="AR49" s="316"/>
      <c r="AS49" s="316"/>
      <c r="AT49" s="316"/>
      <c r="AU49" s="317"/>
      <c r="AV49" s="32"/>
      <c r="AW49" s="32"/>
      <c r="AX49" s="32"/>
      <c r="AY49" s="32"/>
      <c r="AZ49" s="32"/>
      <c r="BA49" s="32"/>
      <c r="BB49" s="32"/>
      <c r="BK49" s="11"/>
    </row>
    <row r="50" spans="1:63" ht="15" customHeight="1">
      <c r="A50" s="8"/>
      <c r="BK50" s="11"/>
    </row>
    <row r="51" spans="1:63" ht="15" customHeight="1">
      <c r="A51" s="8"/>
      <c r="BK51" s="11"/>
    </row>
    <row r="52" spans="1:63" ht="15" customHeight="1">
      <c r="A52" s="8"/>
      <c r="BK52" s="11"/>
    </row>
    <row r="53" spans="1:63" ht="15" customHeight="1">
      <c r="A53" s="8"/>
      <c r="BK53" s="11"/>
    </row>
    <row r="54" spans="1:63" ht="15" customHeight="1">
      <c r="A54" s="8"/>
      <c r="BK54" s="11"/>
    </row>
    <row r="55" spans="1:63" ht="15" customHeight="1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2"/>
    </row>
  </sheetData>
  <mergeCells count="28"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Q44:Z45"/>
    <mergeCell ref="AA44:AP45"/>
    <mergeCell ref="AQ44:AU45"/>
    <mergeCell ref="Q46:Z49"/>
    <mergeCell ref="AA46:AP49"/>
    <mergeCell ref="AQ46:AU49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K63"/>
  <sheetViews>
    <sheetView showGridLines="0" view="pageBreakPreview" zoomScaleNormal="75" zoomScaleSheetLayoutView="100" workbookViewId="0">
      <selection sqref="A1:J1"/>
    </sheetView>
  </sheetViews>
  <sheetFormatPr defaultColWidth="9.109375" defaultRowHeight="13.5"/>
  <cols>
    <col min="1" max="63" width="2.77734375" style="1" customWidth="1"/>
    <col min="64" max="64" width="9.109375" style="1" customWidth="1"/>
    <col min="65" max="16384" width="9.109375" style="1"/>
  </cols>
  <sheetData>
    <row r="1" spans="1:63" ht="24.95" customHeight="1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20"/>
      <c r="K1" s="318" t="s">
        <v>26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30" t="str">
        <f>IF(Bìa!W1="","",Bìa!W1)</f>
        <v>TKCB</v>
      </c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2"/>
      <c r="AP1" s="318" t="s">
        <v>18</v>
      </c>
      <c r="AQ1" s="319"/>
      <c r="AR1" s="319"/>
      <c r="AS1" s="320"/>
      <c r="AT1" s="318" t="s">
        <v>19</v>
      </c>
      <c r="AU1" s="319"/>
      <c r="AV1" s="319"/>
      <c r="AW1" s="319"/>
      <c r="AX1" s="320"/>
      <c r="AY1" s="318" t="s">
        <v>20</v>
      </c>
      <c r="AZ1" s="319"/>
      <c r="BA1" s="319"/>
      <c r="BB1" s="320"/>
      <c r="BC1" s="318" t="s">
        <v>21</v>
      </c>
      <c r="BD1" s="319"/>
      <c r="BE1" s="319"/>
      <c r="BF1" s="319"/>
      <c r="BG1" s="320"/>
      <c r="BH1" s="318" t="s">
        <v>2</v>
      </c>
      <c r="BI1" s="319"/>
      <c r="BJ1" s="319"/>
      <c r="BK1" s="320"/>
    </row>
    <row r="2" spans="1:63" ht="15" customHeight="1">
      <c r="A2" s="309" t="str">
        <f>IF(Bìa!A2="","",Bìa!A2)</f>
        <v>Manager User</v>
      </c>
      <c r="B2" s="310"/>
      <c r="C2" s="310"/>
      <c r="D2" s="310"/>
      <c r="E2" s="310"/>
      <c r="F2" s="310"/>
      <c r="G2" s="310"/>
      <c r="H2" s="310"/>
      <c r="I2" s="310"/>
      <c r="J2" s="311"/>
      <c r="K2" s="309" t="str">
        <f>IF(Bìa!K2="","",Bìa!K2)</f>
        <v>Thiết kế API</v>
      </c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1"/>
      <c r="W2" s="333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09" t="str">
        <f>IF(Bìa!AP2="","",Bìa!AP2)</f>
        <v>ThanhPD</v>
      </c>
      <c r="AQ2" s="310"/>
      <c r="AR2" s="310"/>
      <c r="AS2" s="311"/>
      <c r="AT2" s="321">
        <f>IF(Bìa!AT2="","",Bìa!AT2)</f>
        <v>44930</v>
      </c>
      <c r="AU2" s="322"/>
      <c r="AV2" s="322"/>
      <c r="AW2" s="322"/>
      <c r="AX2" s="323"/>
      <c r="AY2" s="309" t="str">
        <f>IF(Bìa!AY2="","",Bìa!AY2)</f>
        <v>ThanhPD</v>
      </c>
      <c r="AZ2" s="310"/>
      <c r="BA2" s="310"/>
      <c r="BB2" s="311"/>
      <c r="BC2" s="321">
        <f>IF(Bìa!BC2="","",Bìa!BC2)</f>
        <v>44930</v>
      </c>
      <c r="BD2" s="322"/>
      <c r="BE2" s="322"/>
      <c r="BF2" s="322"/>
      <c r="BG2" s="323"/>
      <c r="BH2" s="309">
        <f>IF(Bìa!BH2="","",Bìa!BH2)</f>
        <v>0.1</v>
      </c>
      <c r="BI2" s="310"/>
      <c r="BJ2" s="310"/>
      <c r="BK2" s="311"/>
    </row>
    <row r="3" spans="1:63" ht="15" customHeight="1">
      <c r="A3" s="315"/>
      <c r="B3" s="316"/>
      <c r="C3" s="316"/>
      <c r="D3" s="316"/>
      <c r="E3" s="316"/>
      <c r="F3" s="316"/>
      <c r="G3" s="316"/>
      <c r="H3" s="316"/>
      <c r="I3" s="316"/>
      <c r="J3" s="317"/>
      <c r="K3" s="315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7"/>
      <c r="W3" s="336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8"/>
      <c r="AP3" s="315"/>
      <c r="AQ3" s="316"/>
      <c r="AR3" s="316"/>
      <c r="AS3" s="317"/>
      <c r="AT3" s="324"/>
      <c r="AU3" s="325"/>
      <c r="AV3" s="325"/>
      <c r="AW3" s="325"/>
      <c r="AX3" s="326"/>
      <c r="AY3" s="315"/>
      <c r="AZ3" s="316"/>
      <c r="BA3" s="316"/>
      <c r="BB3" s="317"/>
      <c r="BC3" s="324"/>
      <c r="BD3" s="325"/>
      <c r="BE3" s="325"/>
      <c r="BF3" s="325"/>
      <c r="BG3" s="326"/>
      <c r="BH3" s="315"/>
      <c r="BI3" s="316"/>
      <c r="BJ3" s="316"/>
      <c r="BK3" s="317"/>
    </row>
    <row r="4" spans="1:63" ht="24.95" customHeight="1">
      <c r="A4" s="318" t="s">
        <v>17</v>
      </c>
      <c r="B4" s="319"/>
      <c r="C4" s="319"/>
      <c r="D4" s="319"/>
      <c r="E4" s="319"/>
      <c r="F4" s="319"/>
      <c r="G4" s="320"/>
      <c r="H4" s="339" t="str">
        <f>IF(Bìa!H4="","",Bìa!H4)</f>
        <v/>
      </c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1"/>
      <c r="U4" s="318" t="s">
        <v>22</v>
      </c>
      <c r="V4" s="319"/>
      <c r="W4" s="319"/>
      <c r="X4" s="319"/>
      <c r="Y4" s="320"/>
      <c r="Z4" s="339" t="str">
        <f>IF(Bìa!Z4="","",Bìa!Z4)</f>
        <v>Get employee</v>
      </c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1"/>
      <c r="AP4" s="339" t="s">
        <v>3</v>
      </c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0"/>
      <c r="BC4" s="340"/>
      <c r="BD4" s="340"/>
      <c r="BE4" s="340"/>
      <c r="BF4" s="340"/>
      <c r="BG4" s="340"/>
      <c r="BH4" s="340"/>
      <c r="BI4" s="340"/>
      <c r="BJ4" s="340"/>
      <c r="BK4" s="34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ht="15" customHeight="1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3"/>
    </row>
    <row r="8" spans="1:63" ht="15" customHeight="1">
      <c r="A8" s="31"/>
      <c r="B8" s="34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5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3"/>
    </row>
    <row r="9" spans="1:63" ht="15" customHeight="1">
      <c r="A9" s="3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3"/>
    </row>
    <row r="10" spans="1:63" ht="15" customHeight="1">
      <c r="A10" s="31"/>
      <c r="B10" s="29" t="s">
        <v>0</v>
      </c>
      <c r="C10" s="30"/>
      <c r="D10" s="30"/>
      <c r="E10" s="30"/>
      <c r="F10" s="30"/>
      <c r="G10" s="30"/>
      <c r="H10" s="29" t="s">
        <v>1</v>
      </c>
      <c r="I10" s="30"/>
      <c r="J10" s="30"/>
      <c r="K10" s="30"/>
      <c r="L10" s="30"/>
      <c r="M10" s="30"/>
      <c r="N10" s="30"/>
      <c r="O10" s="29" t="s">
        <v>5</v>
      </c>
      <c r="P10" s="30"/>
      <c r="Q10" s="30"/>
      <c r="R10" s="30"/>
      <c r="S10" s="29" t="s">
        <v>6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416" t="s">
        <v>42</v>
      </c>
      <c r="AY10" s="413"/>
      <c r="AZ10" s="413"/>
      <c r="BA10" s="413"/>
      <c r="BB10" s="413"/>
      <c r="BC10" s="413"/>
      <c r="BD10" s="413" t="s">
        <v>43</v>
      </c>
      <c r="BE10" s="413"/>
      <c r="BF10" s="413"/>
      <c r="BG10" s="413"/>
      <c r="BH10" s="413"/>
      <c r="BI10" s="413"/>
      <c r="BJ10" s="414"/>
      <c r="BK10" s="33"/>
    </row>
    <row r="11" spans="1:63" ht="15" customHeight="1">
      <c r="A11" s="31"/>
      <c r="B11" s="379">
        <v>44930</v>
      </c>
      <c r="C11" s="380"/>
      <c r="D11" s="380"/>
      <c r="E11" s="380"/>
      <c r="F11" s="380"/>
      <c r="G11" s="381"/>
      <c r="H11" s="391" t="s">
        <v>92</v>
      </c>
      <c r="I11" s="386"/>
      <c r="J11" s="386"/>
      <c r="K11" s="386"/>
      <c r="L11" s="386"/>
      <c r="M11" s="386"/>
      <c r="N11" s="387"/>
      <c r="O11" s="367">
        <v>0.1</v>
      </c>
      <c r="P11" s="368"/>
      <c r="Q11" s="368"/>
      <c r="R11" s="369"/>
      <c r="S11" s="85" t="s">
        <v>31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373"/>
      <c r="AY11" s="374"/>
      <c r="AZ11" s="374"/>
      <c r="BA11" s="374"/>
      <c r="BB11" s="374"/>
      <c r="BC11" s="375"/>
      <c r="BD11" s="373"/>
      <c r="BE11" s="374"/>
      <c r="BF11" s="374"/>
      <c r="BG11" s="374"/>
      <c r="BH11" s="374"/>
      <c r="BI11" s="374"/>
      <c r="BJ11" s="375"/>
      <c r="BK11" s="33"/>
    </row>
    <row r="12" spans="1:63" ht="15" customHeight="1">
      <c r="A12" s="31"/>
      <c r="B12" s="382"/>
      <c r="C12" s="383"/>
      <c r="D12" s="383"/>
      <c r="E12" s="383"/>
      <c r="F12" s="383"/>
      <c r="G12" s="384"/>
      <c r="H12" s="388"/>
      <c r="I12" s="389"/>
      <c r="J12" s="389"/>
      <c r="K12" s="389"/>
      <c r="L12" s="389"/>
      <c r="M12" s="389"/>
      <c r="N12" s="390"/>
      <c r="O12" s="370"/>
      <c r="P12" s="371"/>
      <c r="Q12" s="371"/>
      <c r="R12" s="372"/>
      <c r="S12" s="87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376"/>
      <c r="AY12" s="377"/>
      <c r="AZ12" s="377"/>
      <c r="BA12" s="377"/>
      <c r="BB12" s="377"/>
      <c r="BC12" s="378"/>
      <c r="BD12" s="376"/>
      <c r="BE12" s="377"/>
      <c r="BF12" s="377"/>
      <c r="BG12" s="377"/>
      <c r="BH12" s="377"/>
      <c r="BI12" s="377"/>
      <c r="BJ12" s="378"/>
      <c r="BK12" s="33"/>
    </row>
    <row r="13" spans="1:63" ht="15" customHeight="1">
      <c r="A13" s="31"/>
      <c r="B13" s="379"/>
      <c r="C13" s="380"/>
      <c r="D13" s="380"/>
      <c r="E13" s="380"/>
      <c r="F13" s="380"/>
      <c r="G13" s="381"/>
      <c r="H13" s="391"/>
      <c r="I13" s="386"/>
      <c r="J13" s="386"/>
      <c r="K13" s="386"/>
      <c r="L13" s="386"/>
      <c r="M13" s="386"/>
      <c r="N13" s="387"/>
      <c r="O13" s="367"/>
      <c r="P13" s="368"/>
      <c r="Q13" s="368"/>
      <c r="R13" s="369"/>
      <c r="S13" s="85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373"/>
      <c r="AY13" s="374"/>
      <c r="AZ13" s="374"/>
      <c r="BA13" s="374"/>
      <c r="BB13" s="374"/>
      <c r="BC13" s="375"/>
      <c r="BD13" s="373"/>
      <c r="BE13" s="374"/>
      <c r="BF13" s="374"/>
      <c r="BG13" s="374"/>
      <c r="BH13" s="374"/>
      <c r="BI13" s="374"/>
      <c r="BJ13" s="375"/>
      <c r="BK13" s="33"/>
    </row>
    <row r="14" spans="1:63" ht="15" customHeight="1">
      <c r="A14" s="31"/>
      <c r="B14" s="398"/>
      <c r="C14" s="399"/>
      <c r="D14" s="399"/>
      <c r="E14" s="399"/>
      <c r="F14" s="399"/>
      <c r="G14" s="400"/>
      <c r="H14" s="415"/>
      <c r="I14" s="402"/>
      <c r="J14" s="402"/>
      <c r="K14" s="402"/>
      <c r="L14" s="402"/>
      <c r="M14" s="402"/>
      <c r="N14" s="403"/>
      <c r="O14" s="370"/>
      <c r="P14" s="371"/>
      <c r="Q14" s="371"/>
      <c r="R14" s="372"/>
      <c r="S14" s="85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376"/>
      <c r="AY14" s="377"/>
      <c r="AZ14" s="377"/>
      <c r="BA14" s="377"/>
      <c r="BB14" s="377"/>
      <c r="BC14" s="378"/>
      <c r="BD14" s="376"/>
      <c r="BE14" s="377"/>
      <c r="BF14" s="377"/>
      <c r="BG14" s="377"/>
      <c r="BH14" s="377"/>
      <c r="BI14" s="377"/>
      <c r="BJ14" s="378"/>
      <c r="BK14" s="33"/>
    </row>
    <row r="15" spans="1:63" ht="15" customHeight="1">
      <c r="A15" s="31"/>
      <c r="B15" s="379"/>
      <c r="C15" s="380"/>
      <c r="D15" s="380"/>
      <c r="E15" s="380"/>
      <c r="F15" s="380"/>
      <c r="G15" s="381"/>
      <c r="H15" s="391"/>
      <c r="I15" s="386"/>
      <c r="J15" s="386"/>
      <c r="K15" s="386"/>
      <c r="L15" s="386"/>
      <c r="M15" s="386"/>
      <c r="N15" s="387"/>
      <c r="O15" s="367"/>
      <c r="P15" s="368"/>
      <c r="Q15" s="368"/>
      <c r="R15" s="369"/>
      <c r="S15" s="85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373"/>
      <c r="AY15" s="374"/>
      <c r="AZ15" s="374"/>
      <c r="BA15" s="374"/>
      <c r="BB15" s="374"/>
      <c r="BC15" s="375"/>
      <c r="BD15" s="373"/>
      <c r="BE15" s="374"/>
      <c r="BF15" s="374"/>
      <c r="BG15" s="374"/>
      <c r="BH15" s="374"/>
      <c r="BI15" s="374"/>
      <c r="BJ15" s="375"/>
      <c r="BK15" s="33"/>
    </row>
    <row r="16" spans="1:63" ht="15" customHeight="1">
      <c r="A16" s="31"/>
      <c r="B16" s="382"/>
      <c r="C16" s="383"/>
      <c r="D16" s="383"/>
      <c r="E16" s="383"/>
      <c r="F16" s="383"/>
      <c r="G16" s="384"/>
      <c r="H16" s="388"/>
      <c r="I16" s="389"/>
      <c r="J16" s="389"/>
      <c r="K16" s="389"/>
      <c r="L16" s="389"/>
      <c r="M16" s="389"/>
      <c r="N16" s="390"/>
      <c r="O16" s="370"/>
      <c r="P16" s="371"/>
      <c r="Q16" s="371"/>
      <c r="R16" s="372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376"/>
      <c r="AY16" s="377"/>
      <c r="AZ16" s="377"/>
      <c r="BA16" s="377"/>
      <c r="BB16" s="377"/>
      <c r="BC16" s="378"/>
      <c r="BD16" s="376"/>
      <c r="BE16" s="377"/>
      <c r="BF16" s="377"/>
      <c r="BG16" s="377"/>
      <c r="BH16" s="377"/>
      <c r="BI16" s="377"/>
      <c r="BJ16" s="378"/>
      <c r="BK16" s="33"/>
    </row>
    <row r="17" spans="1:63" ht="15" customHeight="1">
      <c r="A17" s="31"/>
      <c r="B17" s="379"/>
      <c r="C17" s="380"/>
      <c r="D17" s="380"/>
      <c r="E17" s="380"/>
      <c r="F17" s="380"/>
      <c r="G17" s="381"/>
      <c r="H17" s="391"/>
      <c r="I17" s="386"/>
      <c r="J17" s="386"/>
      <c r="K17" s="386"/>
      <c r="L17" s="386"/>
      <c r="M17" s="386"/>
      <c r="N17" s="387"/>
      <c r="O17" s="367"/>
      <c r="P17" s="368"/>
      <c r="Q17" s="368"/>
      <c r="R17" s="369"/>
      <c r="S17" s="85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373"/>
      <c r="AY17" s="374"/>
      <c r="AZ17" s="374"/>
      <c r="BA17" s="374"/>
      <c r="BB17" s="374"/>
      <c r="BC17" s="375"/>
      <c r="BD17" s="373"/>
      <c r="BE17" s="374"/>
      <c r="BF17" s="374"/>
      <c r="BG17" s="374"/>
      <c r="BH17" s="374"/>
      <c r="BI17" s="374"/>
      <c r="BJ17" s="375"/>
      <c r="BK17" s="33"/>
    </row>
    <row r="18" spans="1:63" ht="15" customHeight="1">
      <c r="A18" s="31"/>
      <c r="B18" s="382"/>
      <c r="C18" s="383"/>
      <c r="D18" s="383"/>
      <c r="E18" s="383"/>
      <c r="F18" s="383"/>
      <c r="G18" s="384"/>
      <c r="H18" s="388"/>
      <c r="I18" s="389"/>
      <c r="J18" s="389"/>
      <c r="K18" s="389"/>
      <c r="L18" s="389"/>
      <c r="M18" s="389"/>
      <c r="N18" s="390"/>
      <c r="O18" s="370"/>
      <c r="P18" s="371"/>
      <c r="Q18" s="371"/>
      <c r="R18" s="372"/>
      <c r="S18" s="87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376"/>
      <c r="AY18" s="377"/>
      <c r="AZ18" s="377"/>
      <c r="BA18" s="377"/>
      <c r="BB18" s="377"/>
      <c r="BC18" s="378"/>
      <c r="BD18" s="376"/>
      <c r="BE18" s="377"/>
      <c r="BF18" s="377"/>
      <c r="BG18" s="377"/>
      <c r="BH18" s="377"/>
      <c r="BI18" s="377"/>
      <c r="BJ18" s="378"/>
      <c r="BK18" s="33"/>
    </row>
    <row r="19" spans="1:63" ht="15" customHeight="1">
      <c r="A19" s="31"/>
      <c r="B19" s="379"/>
      <c r="C19" s="380"/>
      <c r="D19" s="380"/>
      <c r="E19" s="380"/>
      <c r="F19" s="380"/>
      <c r="G19" s="381"/>
      <c r="H19" s="391"/>
      <c r="I19" s="386"/>
      <c r="J19" s="386"/>
      <c r="K19" s="386"/>
      <c r="L19" s="386"/>
      <c r="M19" s="386"/>
      <c r="N19" s="387"/>
      <c r="O19" s="367"/>
      <c r="P19" s="368"/>
      <c r="Q19" s="368"/>
      <c r="R19" s="369"/>
      <c r="S19" s="85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373"/>
      <c r="AY19" s="374"/>
      <c r="AZ19" s="374"/>
      <c r="BA19" s="374"/>
      <c r="BB19" s="374"/>
      <c r="BC19" s="375"/>
      <c r="BD19" s="373"/>
      <c r="BE19" s="374"/>
      <c r="BF19" s="374"/>
      <c r="BG19" s="374"/>
      <c r="BH19" s="374"/>
      <c r="BI19" s="374"/>
      <c r="BJ19" s="375"/>
      <c r="BK19" s="33"/>
    </row>
    <row r="20" spans="1:63" ht="15" customHeight="1">
      <c r="A20" s="31"/>
      <c r="B20" s="382"/>
      <c r="C20" s="383"/>
      <c r="D20" s="383"/>
      <c r="E20" s="383"/>
      <c r="F20" s="383"/>
      <c r="G20" s="384"/>
      <c r="H20" s="388"/>
      <c r="I20" s="389"/>
      <c r="J20" s="389"/>
      <c r="K20" s="389"/>
      <c r="L20" s="389"/>
      <c r="M20" s="389"/>
      <c r="N20" s="390"/>
      <c r="O20" s="370"/>
      <c r="P20" s="371"/>
      <c r="Q20" s="371"/>
      <c r="R20" s="372"/>
      <c r="S20" s="87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376"/>
      <c r="AY20" s="377"/>
      <c r="AZ20" s="377"/>
      <c r="BA20" s="377"/>
      <c r="BB20" s="377"/>
      <c r="BC20" s="378"/>
      <c r="BD20" s="376"/>
      <c r="BE20" s="377"/>
      <c r="BF20" s="377"/>
      <c r="BG20" s="377"/>
      <c r="BH20" s="377"/>
      <c r="BI20" s="377"/>
      <c r="BJ20" s="378"/>
      <c r="BK20" s="33"/>
    </row>
    <row r="21" spans="1:63" ht="15" customHeight="1">
      <c r="A21" s="31"/>
      <c r="B21" s="379"/>
      <c r="C21" s="380"/>
      <c r="D21" s="380"/>
      <c r="E21" s="380"/>
      <c r="F21" s="380"/>
      <c r="G21" s="381"/>
      <c r="H21" s="391"/>
      <c r="I21" s="386"/>
      <c r="J21" s="386"/>
      <c r="K21" s="386"/>
      <c r="L21" s="386"/>
      <c r="M21" s="386"/>
      <c r="N21" s="387"/>
      <c r="O21" s="367"/>
      <c r="P21" s="368"/>
      <c r="Q21" s="368"/>
      <c r="R21" s="369"/>
      <c r="S21" s="85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373"/>
      <c r="AY21" s="374"/>
      <c r="AZ21" s="374"/>
      <c r="BA21" s="374"/>
      <c r="BB21" s="374"/>
      <c r="BC21" s="375"/>
      <c r="BD21" s="373"/>
      <c r="BE21" s="374"/>
      <c r="BF21" s="374"/>
      <c r="BG21" s="374"/>
      <c r="BH21" s="374"/>
      <c r="BI21" s="374"/>
      <c r="BJ21" s="375"/>
      <c r="BK21" s="33"/>
    </row>
    <row r="22" spans="1:63" ht="15" customHeight="1">
      <c r="A22" s="31"/>
      <c r="B22" s="382"/>
      <c r="C22" s="383"/>
      <c r="D22" s="383"/>
      <c r="E22" s="383"/>
      <c r="F22" s="383"/>
      <c r="G22" s="384"/>
      <c r="H22" s="388"/>
      <c r="I22" s="389"/>
      <c r="J22" s="389"/>
      <c r="K22" s="389"/>
      <c r="L22" s="389"/>
      <c r="M22" s="389"/>
      <c r="N22" s="390"/>
      <c r="O22" s="370"/>
      <c r="P22" s="371"/>
      <c r="Q22" s="371"/>
      <c r="R22" s="372"/>
      <c r="S22" s="87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376"/>
      <c r="AY22" s="377"/>
      <c r="AZ22" s="377"/>
      <c r="BA22" s="377"/>
      <c r="BB22" s="377"/>
      <c r="BC22" s="378"/>
      <c r="BD22" s="376"/>
      <c r="BE22" s="377"/>
      <c r="BF22" s="377"/>
      <c r="BG22" s="377"/>
      <c r="BH22" s="377"/>
      <c r="BI22" s="377"/>
      <c r="BJ22" s="378"/>
      <c r="BK22" s="33"/>
    </row>
    <row r="23" spans="1:63" ht="15" customHeight="1">
      <c r="A23" s="31"/>
      <c r="B23" s="379"/>
      <c r="C23" s="380"/>
      <c r="D23" s="380"/>
      <c r="E23" s="380"/>
      <c r="F23" s="380"/>
      <c r="G23" s="381"/>
      <c r="H23" s="391"/>
      <c r="I23" s="386"/>
      <c r="J23" s="386"/>
      <c r="K23" s="386"/>
      <c r="L23" s="386"/>
      <c r="M23" s="386"/>
      <c r="N23" s="387"/>
      <c r="O23" s="367"/>
      <c r="P23" s="368"/>
      <c r="Q23" s="368"/>
      <c r="R23" s="369"/>
      <c r="S23" s="85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114"/>
      <c r="AX23" s="373"/>
      <c r="AY23" s="374"/>
      <c r="AZ23" s="374"/>
      <c r="BA23" s="374"/>
      <c r="BB23" s="374"/>
      <c r="BC23" s="375"/>
      <c r="BD23" s="373"/>
      <c r="BE23" s="374"/>
      <c r="BF23" s="374"/>
      <c r="BG23" s="374"/>
      <c r="BH23" s="374"/>
      <c r="BI23" s="374"/>
      <c r="BJ23" s="375"/>
      <c r="BK23" s="33"/>
    </row>
    <row r="24" spans="1:63" ht="15" customHeight="1">
      <c r="A24" s="31"/>
      <c r="B24" s="398"/>
      <c r="C24" s="399"/>
      <c r="D24" s="399"/>
      <c r="E24" s="399"/>
      <c r="F24" s="399"/>
      <c r="G24" s="400"/>
      <c r="H24" s="415"/>
      <c r="I24" s="402"/>
      <c r="J24" s="402"/>
      <c r="K24" s="402"/>
      <c r="L24" s="402"/>
      <c r="M24" s="402"/>
      <c r="N24" s="403"/>
      <c r="O24" s="404"/>
      <c r="P24" s="405"/>
      <c r="Q24" s="405"/>
      <c r="R24" s="406"/>
      <c r="S24" s="115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7"/>
      <c r="AX24" s="407"/>
      <c r="AY24" s="408"/>
      <c r="AZ24" s="408"/>
      <c r="BA24" s="408"/>
      <c r="BB24" s="408"/>
      <c r="BC24" s="409"/>
      <c r="BD24" s="407"/>
      <c r="BE24" s="408"/>
      <c r="BF24" s="408"/>
      <c r="BG24" s="408"/>
      <c r="BH24" s="408"/>
      <c r="BI24" s="408"/>
      <c r="BJ24" s="409"/>
      <c r="BK24" s="33"/>
    </row>
    <row r="25" spans="1:63" ht="15" customHeight="1">
      <c r="A25" s="31"/>
      <c r="B25" s="398"/>
      <c r="C25" s="399"/>
      <c r="D25" s="399"/>
      <c r="E25" s="399"/>
      <c r="F25" s="399"/>
      <c r="G25" s="400"/>
      <c r="H25" s="415"/>
      <c r="I25" s="402"/>
      <c r="J25" s="402"/>
      <c r="K25" s="402"/>
      <c r="L25" s="402"/>
      <c r="M25" s="402"/>
      <c r="N25" s="403"/>
      <c r="O25" s="404"/>
      <c r="P25" s="405"/>
      <c r="Q25" s="405"/>
      <c r="R25" s="406"/>
      <c r="S25" s="87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118"/>
      <c r="AX25" s="407"/>
      <c r="AY25" s="408"/>
      <c r="AZ25" s="408"/>
      <c r="BA25" s="408"/>
      <c r="BB25" s="408"/>
      <c r="BC25" s="409"/>
      <c r="BD25" s="407"/>
      <c r="BE25" s="408"/>
      <c r="BF25" s="408"/>
      <c r="BG25" s="408"/>
      <c r="BH25" s="408"/>
      <c r="BI25" s="408"/>
      <c r="BJ25" s="409"/>
      <c r="BK25" s="33"/>
    </row>
    <row r="26" spans="1:63" ht="15" customHeight="1">
      <c r="A26" s="31"/>
      <c r="B26" s="379"/>
      <c r="C26" s="380"/>
      <c r="D26" s="380"/>
      <c r="E26" s="380"/>
      <c r="F26" s="380"/>
      <c r="G26" s="381"/>
      <c r="H26" s="385"/>
      <c r="I26" s="386"/>
      <c r="J26" s="386"/>
      <c r="K26" s="386"/>
      <c r="L26" s="386"/>
      <c r="M26" s="386"/>
      <c r="N26" s="387"/>
      <c r="O26" s="367"/>
      <c r="P26" s="368"/>
      <c r="Q26" s="368"/>
      <c r="R26" s="369"/>
      <c r="S26" s="85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361"/>
      <c r="AY26" s="362"/>
      <c r="AZ26" s="362"/>
      <c r="BA26" s="362"/>
      <c r="BB26" s="362"/>
      <c r="BC26" s="363"/>
      <c r="BD26" s="361"/>
      <c r="BE26" s="362"/>
      <c r="BF26" s="362"/>
      <c r="BG26" s="362"/>
      <c r="BH26" s="362"/>
      <c r="BI26" s="362"/>
      <c r="BJ26" s="363"/>
      <c r="BK26" s="33"/>
    </row>
    <row r="27" spans="1:63" ht="15" customHeight="1">
      <c r="A27" s="31"/>
      <c r="B27" s="382"/>
      <c r="C27" s="383"/>
      <c r="D27" s="383"/>
      <c r="E27" s="383"/>
      <c r="F27" s="383"/>
      <c r="G27" s="384"/>
      <c r="H27" s="388"/>
      <c r="I27" s="389"/>
      <c r="J27" s="389"/>
      <c r="K27" s="389"/>
      <c r="L27" s="389"/>
      <c r="M27" s="389"/>
      <c r="N27" s="390"/>
      <c r="O27" s="370"/>
      <c r="P27" s="371"/>
      <c r="Q27" s="371"/>
      <c r="R27" s="372"/>
      <c r="S27" s="87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364"/>
      <c r="AY27" s="365"/>
      <c r="AZ27" s="365"/>
      <c r="BA27" s="365"/>
      <c r="BB27" s="365"/>
      <c r="BC27" s="366"/>
      <c r="BD27" s="364"/>
      <c r="BE27" s="365"/>
      <c r="BF27" s="365"/>
      <c r="BG27" s="365"/>
      <c r="BH27" s="365"/>
      <c r="BI27" s="365"/>
      <c r="BJ27" s="366"/>
      <c r="BK27" s="33"/>
    </row>
    <row r="28" spans="1:63" ht="15" customHeight="1">
      <c r="A28" s="31"/>
      <c r="B28" s="379"/>
      <c r="C28" s="380"/>
      <c r="D28" s="380"/>
      <c r="E28" s="380"/>
      <c r="F28" s="380"/>
      <c r="G28" s="381"/>
      <c r="H28" s="385"/>
      <c r="I28" s="386"/>
      <c r="J28" s="386"/>
      <c r="K28" s="386"/>
      <c r="L28" s="386"/>
      <c r="M28" s="386"/>
      <c r="N28" s="387"/>
      <c r="O28" s="367"/>
      <c r="P28" s="368"/>
      <c r="Q28" s="368"/>
      <c r="R28" s="369"/>
      <c r="S28" s="85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114"/>
      <c r="AX28" s="373"/>
      <c r="AY28" s="374"/>
      <c r="AZ28" s="374"/>
      <c r="BA28" s="374"/>
      <c r="BB28" s="374"/>
      <c r="BC28" s="375"/>
      <c r="BD28" s="373"/>
      <c r="BE28" s="374"/>
      <c r="BF28" s="374"/>
      <c r="BG28" s="374"/>
      <c r="BH28" s="374"/>
      <c r="BI28" s="374"/>
      <c r="BJ28" s="375"/>
      <c r="BK28" s="33"/>
    </row>
    <row r="29" spans="1:63" ht="15" customHeight="1">
      <c r="A29" s="31"/>
      <c r="B29" s="398"/>
      <c r="C29" s="399"/>
      <c r="D29" s="399"/>
      <c r="E29" s="399"/>
      <c r="F29" s="399"/>
      <c r="G29" s="400"/>
      <c r="H29" s="401"/>
      <c r="I29" s="402"/>
      <c r="J29" s="402"/>
      <c r="K29" s="402"/>
      <c r="L29" s="402"/>
      <c r="M29" s="402"/>
      <c r="N29" s="403"/>
      <c r="O29" s="404"/>
      <c r="P29" s="405"/>
      <c r="Q29" s="405"/>
      <c r="R29" s="406"/>
      <c r="S29" s="115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7"/>
      <c r="AX29" s="407"/>
      <c r="AY29" s="408"/>
      <c r="AZ29" s="408"/>
      <c r="BA29" s="408"/>
      <c r="BB29" s="408"/>
      <c r="BC29" s="409"/>
      <c r="BD29" s="407"/>
      <c r="BE29" s="408"/>
      <c r="BF29" s="408"/>
      <c r="BG29" s="408"/>
      <c r="BH29" s="408"/>
      <c r="BI29" s="408"/>
      <c r="BJ29" s="409"/>
      <c r="BK29" s="33"/>
    </row>
    <row r="30" spans="1:63" ht="15" customHeight="1">
      <c r="A30" s="31"/>
      <c r="B30" s="382"/>
      <c r="C30" s="383"/>
      <c r="D30" s="383"/>
      <c r="E30" s="383"/>
      <c r="F30" s="383"/>
      <c r="G30" s="384"/>
      <c r="H30" s="388"/>
      <c r="I30" s="389"/>
      <c r="J30" s="389"/>
      <c r="K30" s="389"/>
      <c r="L30" s="389"/>
      <c r="M30" s="389"/>
      <c r="N30" s="390"/>
      <c r="O30" s="370"/>
      <c r="P30" s="371"/>
      <c r="Q30" s="371"/>
      <c r="R30" s="372"/>
      <c r="S30" s="87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118"/>
      <c r="AX30" s="376"/>
      <c r="AY30" s="377"/>
      <c r="AZ30" s="377"/>
      <c r="BA30" s="377"/>
      <c r="BB30" s="377"/>
      <c r="BC30" s="378"/>
      <c r="BD30" s="376"/>
      <c r="BE30" s="377"/>
      <c r="BF30" s="377"/>
      <c r="BG30" s="377"/>
      <c r="BH30" s="377"/>
      <c r="BI30" s="377"/>
      <c r="BJ30" s="378"/>
      <c r="BK30" s="33"/>
    </row>
    <row r="31" spans="1:63" ht="15" customHeight="1">
      <c r="A31" s="31"/>
      <c r="B31" s="379"/>
      <c r="C31" s="380"/>
      <c r="D31" s="380"/>
      <c r="E31" s="380"/>
      <c r="F31" s="380"/>
      <c r="G31" s="381"/>
      <c r="H31" s="385"/>
      <c r="I31" s="386"/>
      <c r="J31" s="386"/>
      <c r="K31" s="386"/>
      <c r="L31" s="386"/>
      <c r="M31" s="386"/>
      <c r="N31" s="387"/>
      <c r="O31" s="367"/>
      <c r="P31" s="368"/>
      <c r="Q31" s="368"/>
      <c r="R31" s="369"/>
      <c r="S31" s="85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373"/>
      <c r="AY31" s="374"/>
      <c r="AZ31" s="374"/>
      <c r="BA31" s="374"/>
      <c r="BB31" s="374"/>
      <c r="BC31" s="375"/>
      <c r="BD31" s="373"/>
      <c r="BE31" s="374"/>
      <c r="BF31" s="374"/>
      <c r="BG31" s="374"/>
      <c r="BH31" s="374"/>
      <c r="BI31" s="374"/>
      <c r="BJ31" s="375"/>
      <c r="BK31" s="33"/>
    </row>
    <row r="32" spans="1:63" ht="15" customHeight="1">
      <c r="A32" s="31"/>
      <c r="B32" s="382"/>
      <c r="C32" s="383"/>
      <c r="D32" s="383"/>
      <c r="E32" s="383"/>
      <c r="F32" s="383"/>
      <c r="G32" s="384"/>
      <c r="H32" s="388"/>
      <c r="I32" s="389"/>
      <c r="J32" s="389"/>
      <c r="K32" s="389"/>
      <c r="L32" s="389"/>
      <c r="M32" s="389"/>
      <c r="N32" s="390"/>
      <c r="O32" s="370"/>
      <c r="P32" s="371"/>
      <c r="Q32" s="371"/>
      <c r="R32" s="372"/>
      <c r="S32" s="87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376"/>
      <c r="AY32" s="377"/>
      <c r="AZ32" s="377"/>
      <c r="BA32" s="377"/>
      <c r="BB32" s="377"/>
      <c r="BC32" s="378"/>
      <c r="BD32" s="376"/>
      <c r="BE32" s="377"/>
      <c r="BF32" s="377"/>
      <c r="BG32" s="377"/>
      <c r="BH32" s="377"/>
      <c r="BI32" s="377"/>
      <c r="BJ32" s="378"/>
      <c r="BK32" s="33"/>
    </row>
    <row r="33" spans="1:63" ht="44.25" customHeight="1">
      <c r="A33" s="31"/>
      <c r="B33" s="379"/>
      <c r="C33" s="380"/>
      <c r="D33" s="380"/>
      <c r="E33" s="380"/>
      <c r="F33" s="380"/>
      <c r="G33" s="381"/>
      <c r="H33" s="385"/>
      <c r="I33" s="386"/>
      <c r="J33" s="386"/>
      <c r="K33" s="386"/>
      <c r="L33" s="386"/>
      <c r="M33" s="386"/>
      <c r="N33" s="387"/>
      <c r="O33" s="367"/>
      <c r="P33" s="368"/>
      <c r="Q33" s="368"/>
      <c r="R33" s="369"/>
      <c r="S33" s="410"/>
      <c r="T33" s="411"/>
      <c r="U33" s="411"/>
      <c r="V33" s="411"/>
      <c r="W33" s="411"/>
      <c r="X33" s="411"/>
      <c r="Y33" s="411"/>
      <c r="Z33" s="411"/>
      <c r="AA33" s="411"/>
      <c r="AB33" s="411"/>
      <c r="AC33" s="411"/>
      <c r="AD33" s="411"/>
      <c r="AE33" s="411"/>
      <c r="AF33" s="411"/>
      <c r="AG33" s="411"/>
      <c r="AH33" s="411"/>
      <c r="AI33" s="411"/>
      <c r="AJ33" s="411"/>
      <c r="AK33" s="411"/>
      <c r="AL33" s="411"/>
      <c r="AM33" s="411"/>
      <c r="AN33" s="411"/>
      <c r="AO33" s="411"/>
      <c r="AP33" s="411"/>
      <c r="AQ33" s="411"/>
      <c r="AR33" s="411"/>
      <c r="AS33" s="411"/>
      <c r="AT33" s="411"/>
      <c r="AU33" s="411"/>
      <c r="AV33" s="411"/>
      <c r="AW33" s="412"/>
      <c r="AX33" s="373"/>
      <c r="AY33" s="374"/>
      <c r="AZ33" s="374"/>
      <c r="BA33" s="374"/>
      <c r="BB33" s="374"/>
      <c r="BC33" s="375"/>
      <c r="BD33" s="373"/>
      <c r="BE33" s="374"/>
      <c r="BF33" s="374"/>
      <c r="BG33" s="374"/>
      <c r="BH33" s="374"/>
      <c r="BI33" s="374"/>
      <c r="BJ33" s="375"/>
      <c r="BK33" s="33"/>
    </row>
    <row r="34" spans="1:63" ht="15" customHeight="1">
      <c r="A34" s="31"/>
      <c r="B34" s="382"/>
      <c r="C34" s="383"/>
      <c r="D34" s="383"/>
      <c r="E34" s="383"/>
      <c r="F34" s="383"/>
      <c r="G34" s="384"/>
      <c r="H34" s="388"/>
      <c r="I34" s="389"/>
      <c r="J34" s="389"/>
      <c r="K34" s="389"/>
      <c r="L34" s="389"/>
      <c r="M34" s="389"/>
      <c r="N34" s="390"/>
      <c r="O34" s="370"/>
      <c r="P34" s="371"/>
      <c r="Q34" s="371"/>
      <c r="R34" s="372"/>
      <c r="S34" s="87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376"/>
      <c r="AY34" s="377"/>
      <c r="AZ34" s="377"/>
      <c r="BA34" s="377"/>
      <c r="BB34" s="377"/>
      <c r="BC34" s="378"/>
      <c r="BD34" s="376"/>
      <c r="BE34" s="377"/>
      <c r="BF34" s="377"/>
      <c r="BG34" s="377"/>
      <c r="BH34" s="377"/>
      <c r="BI34" s="377"/>
      <c r="BJ34" s="378"/>
      <c r="BK34" s="33"/>
    </row>
    <row r="35" spans="1:63" ht="15" customHeight="1">
      <c r="A35" s="31"/>
      <c r="B35" s="379"/>
      <c r="C35" s="380"/>
      <c r="D35" s="380"/>
      <c r="E35" s="380"/>
      <c r="F35" s="380"/>
      <c r="G35" s="381"/>
      <c r="H35" s="385"/>
      <c r="I35" s="386"/>
      <c r="J35" s="386"/>
      <c r="K35" s="386"/>
      <c r="L35" s="386"/>
      <c r="M35" s="386"/>
      <c r="N35" s="387"/>
      <c r="O35" s="367"/>
      <c r="P35" s="368"/>
      <c r="Q35" s="368"/>
      <c r="R35" s="369"/>
      <c r="S35" s="85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373"/>
      <c r="AY35" s="374"/>
      <c r="AZ35" s="374"/>
      <c r="BA35" s="374"/>
      <c r="BB35" s="374"/>
      <c r="BC35" s="375"/>
      <c r="BD35" s="373"/>
      <c r="BE35" s="374"/>
      <c r="BF35" s="374"/>
      <c r="BG35" s="374"/>
      <c r="BH35" s="374"/>
      <c r="BI35" s="374"/>
      <c r="BJ35" s="375"/>
      <c r="BK35" s="33"/>
    </row>
    <row r="36" spans="1:63" ht="15" customHeight="1">
      <c r="A36" s="31"/>
      <c r="B36" s="382"/>
      <c r="C36" s="383"/>
      <c r="D36" s="383"/>
      <c r="E36" s="383"/>
      <c r="F36" s="383"/>
      <c r="G36" s="384"/>
      <c r="H36" s="388"/>
      <c r="I36" s="389"/>
      <c r="J36" s="389"/>
      <c r="K36" s="389"/>
      <c r="L36" s="389"/>
      <c r="M36" s="389"/>
      <c r="N36" s="390"/>
      <c r="O36" s="370"/>
      <c r="P36" s="371"/>
      <c r="Q36" s="371"/>
      <c r="R36" s="372"/>
      <c r="S36" s="87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376"/>
      <c r="AY36" s="377"/>
      <c r="AZ36" s="377"/>
      <c r="BA36" s="377"/>
      <c r="BB36" s="377"/>
      <c r="BC36" s="378"/>
      <c r="BD36" s="376"/>
      <c r="BE36" s="377"/>
      <c r="BF36" s="377"/>
      <c r="BG36" s="377"/>
      <c r="BH36" s="377"/>
      <c r="BI36" s="377"/>
      <c r="BJ36" s="378"/>
      <c r="BK36" s="33"/>
    </row>
    <row r="37" spans="1:63" ht="15" customHeight="1">
      <c r="A37" s="31"/>
      <c r="B37" s="379"/>
      <c r="C37" s="380"/>
      <c r="D37" s="380"/>
      <c r="E37" s="380"/>
      <c r="F37" s="380"/>
      <c r="G37" s="381"/>
      <c r="H37" s="385"/>
      <c r="I37" s="386"/>
      <c r="J37" s="386"/>
      <c r="K37" s="386"/>
      <c r="L37" s="386"/>
      <c r="M37" s="386"/>
      <c r="N37" s="387"/>
      <c r="O37" s="367"/>
      <c r="P37" s="368"/>
      <c r="Q37" s="368"/>
      <c r="R37" s="369"/>
      <c r="S37" s="85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373"/>
      <c r="AY37" s="374"/>
      <c r="AZ37" s="374"/>
      <c r="BA37" s="374"/>
      <c r="BB37" s="374"/>
      <c r="BC37" s="375"/>
      <c r="BD37" s="373"/>
      <c r="BE37" s="374"/>
      <c r="BF37" s="374"/>
      <c r="BG37" s="374"/>
      <c r="BH37" s="374"/>
      <c r="BI37" s="374"/>
      <c r="BJ37" s="375"/>
      <c r="BK37" s="33"/>
    </row>
    <row r="38" spans="1:63" ht="15" customHeight="1">
      <c r="A38" s="31"/>
      <c r="B38" s="382"/>
      <c r="C38" s="383"/>
      <c r="D38" s="383"/>
      <c r="E38" s="383"/>
      <c r="F38" s="383"/>
      <c r="G38" s="384"/>
      <c r="H38" s="388"/>
      <c r="I38" s="389"/>
      <c r="J38" s="389"/>
      <c r="K38" s="389"/>
      <c r="L38" s="389"/>
      <c r="M38" s="389"/>
      <c r="N38" s="390"/>
      <c r="O38" s="370"/>
      <c r="P38" s="371"/>
      <c r="Q38" s="371"/>
      <c r="R38" s="372"/>
      <c r="S38" s="87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376"/>
      <c r="AY38" s="377"/>
      <c r="AZ38" s="377"/>
      <c r="BA38" s="377"/>
      <c r="BB38" s="377"/>
      <c r="BC38" s="378"/>
      <c r="BD38" s="376"/>
      <c r="BE38" s="377"/>
      <c r="BF38" s="377"/>
      <c r="BG38" s="377"/>
      <c r="BH38" s="377"/>
      <c r="BI38" s="377"/>
      <c r="BJ38" s="378"/>
      <c r="BK38" s="33"/>
    </row>
    <row r="39" spans="1:63" ht="15" customHeight="1">
      <c r="A39" s="31"/>
      <c r="B39" s="379"/>
      <c r="C39" s="380"/>
      <c r="D39" s="380"/>
      <c r="E39" s="380"/>
      <c r="F39" s="380"/>
      <c r="G39" s="381"/>
      <c r="H39" s="385"/>
      <c r="I39" s="386"/>
      <c r="J39" s="386"/>
      <c r="K39" s="386"/>
      <c r="L39" s="386"/>
      <c r="M39" s="386"/>
      <c r="N39" s="387"/>
      <c r="O39" s="367"/>
      <c r="P39" s="368"/>
      <c r="Q39" s="368"/>
      <c r="R39" s="369"/>
      <c r="S39" s="85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373"/>
      <c r="AY39" s="374"/>
      <c r="AZ39" s="374"/>
      <c r="BA39" s="374"/>
      <c r="BB39" s="374"/>
      <c r="BC39" s="375"/>
      <c r="BD39" s="373"/>
      <c r="BE39" s="374"/>
      <c r="BF39" s="374"/>
      <c r="BG39" s="374"/>
      <c r="BH39" s="374"/>
      <c r="BI39" s="374"/>
      <c r="BJ39" s="375"/>
      <c r="BK39" s="33"/>
    </row>
    <row r="40" spans="1:63" ht="15" customHeight="1">
      <c r="A40" s="31"/>
      <c r="B40" s="382"/>
      <c r="C40" s="383"/>
      <c r="D40" s="383"/>
      <c r="E40" s="383"/>
      <c r="F40" s="383"/>
      <c r="G40" s="384"/>
      <c r="H40" s="388"/>
      <c r="I40" s="389"/>
      <c r="J40" s="389"/>
      <c r="K40" s="389"/>
      <c r="L40" s="389"/>
      <c r="M40" s="389"/>
      <c r="N40" s="390"/>
      <c r="O40" s="370"/>
      <c r="P40" s="371"/>
      <c r="Q40" s="371"/>
      <c r="R40" s="372"/>
      <c r="S40" s="87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376"/>
      <c r="AY40" s="377"/>
      <c r="AZ40" s="377"/>
      <c r="BA40" s="377"/>
      <c r="BB40" s="377"/>
      <c r="BC40" s="378"/>
      <c r="BD40" s="376"/>
      <c r="BE40" s="377"/>
      <c r="BF40" s="377"/>
      <c r="BG40" s="377"/>
      <c r="BH40" s="377"/>
      <c r="BI40" s="377"/>
      <c r="BJ40" s="378"/>
      <c r="BK40" s="33"/>
    </row>
    <row r="41" spans="1:63" ht="15" customHeight="1">
      <c r="A41" s="31"/>
      <c r="B41" s="379"/>
      <c r="C41" s="380"/>
      <c r="D41" s="380"/>
      <c r="E41" s="380"/>
      <c r="F41" s="380"/>
      <c r="G41" s="381"/>
      <c r="H41" s="385"/>
      <c r="I41" s="386"/>
      <c r="J41" s="386"/>
      <c r="K41" s="386"/>
      <c r="L41" s="386"/>
      <c r="M41" s="386"/>
      <c r="N41" s="387"/>
      <c r="O41" s="367"/>
      <c r="P41" s="368"/>
      <c r="Q41" s="368"/>
      <c r="R41" s="369"/>
      <c r="S41" s="85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373"/>
      <c r="AY41" s="374"/>
      <c r="AZ41" s="374"/>
      <c r="BA41" s="374"/>
      <c r="BB41" s="374"/>
      <c r="BC41" s="375"/>
      <c r="BD41" s="373"/>
      <c r="BE41" s="374"/>
      <c r="BF41" s="374"/>
      <c r="BG41" s="374"/>
      <c r="BH41" s="374"/>
      <c r="BI41" s="374"/>
      <c r="BJ41" s="375"/>
      <c r="BK41" s="33"/>
    </row>
    <row r="42" spans="1:63" ht="15" customHeight="1">
      <c r="A42" s="31"/>
      <c r="B42" s="382"/>
      <c r="C42" s="383"/>
      <c r="D42" s="383"/>
      <c r="E42" s="383"/>
      <c r="F42" s="383"/>
      <c r="G42" s="384"/>
      <c r="H42" s="388"/>
      <c r="I42" s="389"/>
      <c r="J42" s="389"/>
      <c r="K42" s="389"/>
      <c r="L42" s="389"/>
      <c r="M42" s="389"/>
      <c r="N42" s="390"/>
      <c r="O42" s="370"/>
      <c r="P42" s="371"/>
      <c r="Q42" s="371"/>
      <c r="R42" s="372"/>
      <c r="S42" s="87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376"/>
      <c r="AY42" s="377"/>
      <c r="AZ42" s="377"/>
      <c r="BA42" s="377"/>
      <c r="BB42" s="377"/>
      <c r="BC42" s="378"/>
      <c r="BD42" s="376"/>
      <c r="BE42" s="377"/>
      <c r="BF42" s="377"/>
      <c r="BG42" s="377"/>
      <c r="BH42" s="377"/>
      <c r="BI42" s="377"/>
      <c r="BJ42" s="378"/>
      <c r="BK42" s="33"/>
    </row>
    <row r="43" spans="1:63" ht="15" customHeight="1">
      <c r="A43" s="31"/>
      <c r="B43" s="379"/>
      <c r="C43" s="380"/>
      <c r="D43" s="380"/>
      <c r="E43" s="380"/>
      <c r="F43" s="380"/>
      <c r="G43" s="381"/>
      <c r="H43" s="391"/>
      <c r="I43" s="386"/>
      <c r="J43" s="386"/>
      <c r="K43" s="386"/>
      <c r="L43" s="386"/>
      <c r="M43" s="386"/>
      <c r="N43" s="387"/>
      <c r="O43" s="367"/>
      <c r="P43" s="368"/>
      <c r="Q43" s="368"/>
      <c r="R43" s="369"/>
      <c r="S43" s="85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373"/>
      <c r="AY43" s="374"/>
      <c r="AZ43" s="374"/>
      <c r="BA43" s="374"/>
      <c r="BB43" s="374"/>
      <c r="BC43" s="375"/>
      <c r="BD43" s="373"/>
      <c r="BE43" s="374"/>
      <c r="BF43" s="374"/>
      <c r="BG43" s="374"/>
      <c r="BH43" s="374"/>
      <c r="BI43" s="374"/>
      <c r="BJ43" s="375"/>
      <c r="BK43" s="33"/>
    </row>
    <row r="44" spans="1:63" ht="15" customHeight="1">
      <c r="A44" s="31"/>
      <c r="B44" s="382"/>
      <c r="C44" s="383"/>
      <c r="D44" s="383"/>
      <c r="E44" s="383"/>
      <c r="F44" s="383"/>
      <c r="G44" s="384"/>
      <c r="H44" s="388"/>
      <c r="I44" s="389"/>
      <c r="J44" s="389"/>
      <c r="K44" s="389"/>
      <c r="L44" s="389"/>
      <c r="M44" s="389"/>
      <c r="N44" s="390"/>
      <c r="O44" s="370"/>
      <c r="P44" s="371"/>
      <c r="Q44" s="371"/>
      <c r="R44" s="372"/>
      <c r="S44" s="85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376"/>
      <c r="AY44" s="377"/>
      <c r="AZ44" s="377"/>
      <c r="BA44" s="377"/>
      <c r="BB44" s="377"/>
      <c r="BC44" s="378"/>
      <c r="BD44" s="376"/>
      <c r="BE44" s="377"/>
      <c r="BF44" s="377"/>
      <c r="BG44" s="377"/>
      <c r="BH44" s="377"/>
      <c r="BI44" s="377"/>
      <c r="BJ44" s="378"/>
      <c r="BK44" s="33"/>
    </row>
    <row r="45" spans="1:63" ht="15" customHeight="1">
      <c r="A45" s="31"/>
      <c r="B45" s="392"/>
      <c r="C45" s="393"/>
      <c r="D45" s="393"/>
      <c r="E45" s="393"/>
      <c r="F45" s="393"/>
      <c r="G45" s="394"/>
      <c r="H45" s="417"/>
      <c r="I45" s="418"/>
      <c r="J45" s="418"/>
      <c r="K45" s="418"/>
      <c r="L45" s="418"/>
      <c r="M45" s="418"/>
      <c r="N45" s="419"/>
      <c r="O45" s="423"/>
      <c r="P45" s="424"/>
      <c r="Q45" s="424"/>
      <c r="R45" s="425"/>
      <c r="S45" s="160"/>
      <c r="T45" s="161"/>
      <c r="U45" s="161"/>
      <c r="V45" s="161"/>
      <c r="W45" s="161"/>
      <c r="X45" s="161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373"/>
      <c r="AY45" s="374"/>
      <c r="AZ45" s="374"/>
      <c r="BA45" s="374"/>
      <c r="BB45" s="374"/>
      <c r="BC45" s="375"/>
      <c r="BD45" s="373"/>
      <c r="BE45" s="374"/>
      <c r="BF45" s="374"/>
      <c r="BG45" s="374"/>
      <c r="BH45" s="374"/>
      <c r="BI45" s="374"/>
      <c r="BJ45" s="375"/>
      <c r="BK45" s="33"/>
    </row>
    <row r="46" spans="1:63" ht="15" customHeight="1">
      <c r="A46" s="31"/>
      <c r="B46" s="395"/>
      <c r="C46" s="396"/>
      <c r="D46" s="396"/>
      <c r="E46" s="396"/>
      <c r="F46" s="396"/>
      <c r="G46" s="397"/>
      <c r="H46" s="420"/>
      <c r="I46" s="421"/>
      <c r="J46" s="421"/>
      <c r="K46" s="421"/>
      <c r="L46" s="421"/>
      <c r="M46" s="421"/>
      <c r="N46" s="422"/>
      <c r="O46" s="426"/>
      <c r="P46" s="427"/>
      <c r="Q46" s="427"/>
      <c r="R46" s="428"/>
      <c r="S46" s="160"/>
      <c r="T46" s="162"/>
      <c r="U46" s="162"/>
      <c r="V46" s="162"/>
      <c r="W46" s="162"/>
      <c r="X46" s="162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376"/>
      <c r="AY46" s="377"/>
      <c r="AZ46" s="377"/>
      <c r="BA46" s="377"/>
      <c r="BB46" s="377"/>
      <c r="BC46" s="378"/>
      <c r="BD46" s="376"/>
      <c r="BE46" s="377"/>
      <c r="BF46" s="377"/>
      <c r="BG46" s="377"/>
      <c r="BH46" s="377"/>
      <c r="BI46" s="377"/>
      <c r="BJ46" s="378"/>
      <c r="BK46" s="33"/>
    </row>
    <row r="47" spans="1:63" ht="15" customHeight="1">
      <c r="A47" s="31"/>
      <c r="B47" s="471"/>
      <c r="C47" s="472"/>
      <c r="D47" s="472"/>
      <c r="E47" s="472"/>
      <c r="F47" s="472"/>
      <c r="G47" s="473"/>
      <c r="H47" s="429"/>
      <c r="I47" s="430"/>
      <c r="J47" s="430"/>
      <c r="K47" s="430"/>
      <c r="L47" s="430"/>
      <c r="M47" s="430"/>
      <c r="N47" s="431"/>
      <c r="O47" s="435"/>
      <c r="P47" s="436"/>
      <c r="Q47" s="436"/>
      <c r="R47" s="437"/>
      <c r="S47" s="165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373"/>
      <c r="AY47" s="374"/>
      <c r="AZ47" s="374"/>
      <c r="BA47" s="374"/>
      <c r="BB47" s="374"/>
      <c r="BC47" s="375"/>
      <c r="BD47" s="373"/>
      <c r="BE47" s="374"/>
      <c r="BF47" s="374"/>
      <c r="BG47" s="374"/>
      <c r="BH47" s="374"/>
      <c r="BI47" s="374"/>
      <c r="BJ47" s="375"/>
      <c r="BK47" s="33"/>
    </row>
    <row r="48" spans="1:63" ht="15" customHeight="1">
      <c r="A48" s="31"/>
      <c r="B48" s="474"/>
      <c r="C48" s="475"/>
      <c r="D48" s="475"/>
      <c r="E48" s="475"/>
      <c r="F48" s="475"/>
      <c r="G48" s="476"/>
      <c r="H48" s="432"/>
      <c r="I48" s="433"/>
      <c r="J48" s="433"/>
      <c r="K48" s="433"/>
      <c r="L48" s="433"/>
      <c r="M48" s="433"/>
      <c r="N48" s="434"/>
      <c r="O48" s="438"/>
      <c r="P48" s="439"/>
      <c r="Q48" s="439"/>
      <c r="R48" s="440"/>
      <c r="S48" s="87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376"/>
      <c r="AY48" s="377"/>
      <c r="AZ48" s="377"/>
      <c r="BA48" s="377"/>
      <c r="BB48" s="377"/>
      <c r="BC48" s="378"/>
      <c r="BD48" s="376"/>
      <c r="BE48" s="377"/>
      <c r="BF48" s="377"/>
      <c r="BG48" s="377"/>
      <c r="BH48" s="377"/>
      <c r="BI48" s="377"/>
      <c r="BJ48" s="378"/>
      <c r="BK48" s="33"/>
    </row>
    <row r="49" spans="1:63" ht="15" customHeight="1">
      <c r="A49" s="31"/>
      <c r="B49" s="477"/>
      <c r="C49" s="478"/>
      <c r="D49" s="478"/>
      <c r="E49" s="478"/>
      <c r="F49" s="478"/>
      <c r="G49" s="479"/>
      <c r="H49" s="483"/>
      <c r="I49" s="484"/>
      <c r="J49" s="484"/>
      <c r="K49" s="484"/>
      <c r="L49" s="484"/>
      <c r="M49" s="484"/>
      <c r="N49" s="485"/>
      <c r="O49" s="489"/>
      <c r="P49" s="490"/>
      <c r="Q49" s="490"/>
      <c r="R49" s="491"/>
      <c r="S49" s="166"/>
      <c r="T49" s="167"/>
      <c r="U49" s="167"/>
      <c r="V49" s="167"/>
      <c r="W49" s="167"/>
      <c r="X49" s="167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373"/>
      <c r="AY49" s="374"/>
      <c r="AZ49" s="374"/>
      <c r="BA49" s="374"/>
      <c r="BB49" s="374"/>
      <c r="BC49" s="375"/>
      <c r="BD49" s="373"/>
      <c r="BE49" s="374"/>
      <c r="BF49" s="374"/>
      <c r="BG49" s="374"/>
      <c r="BH49" s="374"/>
      <c r="BI49" s="374"/>
      <c r="BJ49" s="375"/>
      <c r="BK49" s="33"/>
    </row>
    <row r="50" spans="1:63" ht="15" customHeight="1">
      <c r="A50" s="31"/>
      <c r="B50" s="480"/>
      <c r="C50" s="481"/>
      <c r="D50" s="481"/>
      <c r="E50" s="481"/>
      <c r="F50" s="481"/>
      <c r="G50" s="482"/>
      <c r="H50" s="486"/>
      <c r="I50" s="487"/>
      <c r="J50" s="487"/>
      <c r="K50" s="487"/>
      <c r="L50" s="487"/>
      <c r="M50" s="487"/>
      <c r="N50" s="488"/>
      <c r="O50" s="492"/>
      <c r="P50" s="493"/>
      <c r="Q50" s="493"/>
      <c r="R50" s="494"/>
      <c r="S50" s="168"/>
      <c r="T50" s="169"/>
      <c r="U50" s="169"/>
      <c r="V50" s="169"/>
      <c r="W50" s="169"/>
      <c r="X50" s="169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376"/>
      <c r="AY50" s="377"/>
      <c r="AZ50" s="377"/>
      <c r="BA50" s="377"/>
      <c r="BB50" s="377"/>
      <c r="BC50" s="378"/>
      <c r="BD50" s="376"/>
      <c r="BE50" s="377"/>
      <c r="BF50" s="377"/>
      <c r="BG50" s="377"/>
      <c r="BH50" s="377"/>
      <c r="BI50" s="377"/>
      <c r="BJ50" s="378"/>
      <c r="BK50" s="33"/>
    </row>
    <row r="51" spans="1:63" ht="15" customHeight="1">
      <c r="A51" s="31"/>
      <c r="B51" s="459"/>
      <c r="C51" s="460"/>
      <c r="D51" s="460"/>
      <c r="E51" s="460"/>
      <c r="F51" s="460"/>
      <c r="G51" s="461"/>
      <c r="H51" s="465"/>
      <c r="I51" s="466"/>
      <c r="J51" s="466"/>
      <c r="K51" s="466"/>
      <c r="L51" s="466"/>
      <c r="M51" s="466"/>
      <c r="N51" s="467"/>
      <c r="O51" s="495"/>
      <c r="P51" s="496"/>
      <c r="Q51" s="496"/>
      <c r="R51" s="497"/>
      <c r="S51" s="170"/>
      <c r="T51" s="171"/>
      <c r="U51" s="171"/>
      <c r="V51" s="171"/>
      <c r="W51" s="171"/>
      <c r="X51" s="171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373"/>
      <c r="AY51" s="374"/>
      <c r="AZ51" s="374"/>
      <c r="BA51" s="374"/>
      <c r="BB51" s="374"/>
      <c r="BC51" s="375"/>
      <c r="BD51" s="373"/>
      <c r="BE51" s="374"/>
      <c r="BF51" s="374"/>
      <c r="BG51" s="374"/>
      <c r="BH51" s="374"/>
      <c r="BI51" s="374"/>
      <c r="BJ51" s="375"/>
      <c r="BK51" s="33"/>
    </row>
    <row r="52" spans="1:63" ht="15" customHeight="1">
      <c r="A52" s="31"/>
      <c r="B52" s="462"/>
      <c r="C52" s="463"/>
      <c r="D52" s="463"/>
      <c r="E52" s="463"/>
      <c r="F52" s="463"/>
      <c r="G52" s="464"/>
      <c r="H52" s="468"/>
      <c r="I52" s="469"/>
      <c r="J52" s="469"/>
      <c r="K52" s="469"/>
      <c r="L52" s="469"/>
      <c r="M52" s="469"/>
      <c r="N52" s="470"/>
      <c r="O52" s="498"/>
      <c r="P52" s="499"/>
      <c r="Q52" s="499"/>
      <c r="R52" s="500"/>
      <c r="S52" s="172"/>
      <c r="T52" s="173"/>
      <c r="U52" s="173"/>
      <c r="V52" s="173"/>
      <c r="W52" s="173"/>
      <c r="X52" s="173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376"/>
      <c r="AY52" s="377"/>
      <c r="AZ52" s="377"/>
      <c r="BA52" s="377"/>
      <c r="BB52" s="377"/>
      <c r="BC52" s="378"/>
      <c r="BD52" s="376"/>
      <c r="BE52" s="377"/>
      <c r="BF52" s="377"/>
      <c r="BG52" s="377"/>
      <c r="BH52" s="377"/>
      <c r="BI52" s="377"/>
      <c r="BJ52" s="378"/>
      <c r="BK52" s="33"/>
    </row>
    <row r="53" spans="1:63" ht="15" customHeight="1">
      <c r="A53" s="31"/>
      <c r="B53" s="441"/>
      <c r="C53" s="442"/>
      <c r="D53" s="442"/>
      <c r="E53" s="442"/>
      <c r="F53" s="442"/>
      <c r="G53" s="443"/>
      <c r="H53" s="447"/>
      <c r="I53" s="448"/>
      <c r="J53" s="448"/>
      <c r="K53" s="448"/>
      <c r="L53" s="448"/>
      <c r="M53" s="448"/>
      <c r="N53" s="449"/>
      <c r="O53" s="453"/>
      <c r="P53" s="454"/>
      <c r="Q53" s="454"/>
      <c r="R53" s="455"/>
      <c r="S53" s="174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373"/>
      <c r="AY53" s="374"/>
      <c r="AZ53" s="374"/>
      <c r="BA53" s="374"/>
      <c r="BB53" s="374"/>
      <c r="BC53" s="375"/>
      <c r="BD53" s="373"/>
      <c r="BE53" s="374"/>
      <c r="BF53" s="374"/>
      <c r="BG53" s="374"/>
      <c r="BH53" s="374"/>
      <c r="BI53" s="374"/>
      <c r="BJ53" s="375"/>
      <c r="BK53" s="33"/>
    </row>
    <row r="54" spans="1:63" ht="15" customHeight="1">
      <c r="A54" s="31"/>
      <c r="B54" s="444"/>
      <c r="C54" s="445"/>
      <c r="D54" s="445"/>
      <c r="E54" s="445"/>
      <c r="F54" s="445"/>
      <c r="G54" s="446"/>
      <c r="H54" s="450"/>
      <c r="I54" s="451"/>
      <c r="J54" s="451"/>
      <c r="K54" s="451"/>
      <c r="L54" s="451"/>
      <c r="M54" s="451"/>
      <c r="N54" s="452"/>
      <c r="O54" s="456"/>
      <c r="P54" s="457"/>
      <c r="Q54" s="457"/>
      <c r="R54" s="458"/>
      <c r="S54" s="87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376"/>
      <c r="AY54" s="377"/>
      <c r="AZ54" s="377"/>
      <c r="BA54" s="377"/>
      <c r="BB54" s="377"/>
      <c r="BC54" s="378"/>
      <c r="BD54" s="376"/>
      <c r="BE54" s="377"/>
      <c r="BF54" s="377"/>
      <c r="BG54" s="377"/>
      <c r="BH54" s="377"/>
      <c r="BI54" s="377"/>
      <c r="BJ54" s="378"/>
      <c r="BK54" s="33"/>
    </row>
    <row r="55" spans="1:63" ht="15" customHeight="1">
      <c r="A55" s="31"/>
      <c r="B55" s="519"/>
      <c r="C55" s="520"/>
      <c r="D55" s="520"/>
      <c r="E55" s="520"/>
      <c r="F55" s="520"/>
      <c r="G55" s="521"/>
      <c r="H55" s="525"/>
      <c r="I55" s="526"/>
      <c r="J55" s="526"/>
      <c r="K55" s="526"/>
      <c r="L55" s="526"/>
      <c r="M55" s="526"/>
      <c r="N55" s="527"/>
      <c r="O55" s="531"/>
      <c r="P55" s="532"/>
      <c r="Q55" s="532"/>
      <c r="R55" s="533"/>
      <c r="S55" s="175"/>
      <c r="T55" s="176"/>
      <c r="U55" s="176"/>
      <c r="V55" s="176"/>
      <c r="W55" s="17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373"/>
      <c r="AY55" s="374"/>
      <c r="AZ55" s="374"/>
      <c r="BA55" s="374"/>
      <c r="BB55" s="374"/>
      <c r="BC55" s="375"/>
      <c r="BD55" s="373"/>
      <c r="BE55" s="374"/>
      <c r="BF55" s="374"/>
      <c r="BG55" s="374"/>
      <c r="BH55" s="374"/>
      <c r="BI55" s="374"/>
      <c r="BJ55" s="375"/>
      <c r="BK55" s="33"/>
    </row>
    <row r="56" spans="1:63" ht="15" customHeight="1">
      <c r="A56" s="31"/>
      <c r="B56" s="522"/>
      <c r="C56" s="523"/>
      <c r="D56" s="523"/>
      <c r="E56" s="523"/>
      <c r="F56" s="523"/>
      <c r="G56" s="524"/>
      <c r="H56" s="528"/>
      <c r="I56" s="529"/>
      <c r="J56" s="529"/>
      <c r="K56" s="529"/>
      <c r="L56" s="529"/>
      <c r="M56" s="529"/>
      <c r="N56" s="530"/>
      <c r="O56" s="534"/>
      <c r="P56" s="535"/>
      <c r="Q56" s="535"/>
      <c r="R56" s="536"/>
      <c r="S56" s="175"/>
      <c r="T56" s="177"/>
      <c r="U56" s="177"/>
      <c r="V56" s="177"/>
      <c r="W56" s="177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376"/>
      <c r="AY56" s="377"/>
      <c r="AZ56" s="377"/>
      <c r="BA56" s="377"/>
      <c r="BB56" s="377"/>
      <c r="BC56" s="378"/>
      <c r="BD56" s="376"/>
      <c r="BE56" s="377"/>
      <c r="BF56" s="377"/>
      <c r="BG56" s="377"/>
      <c r="BH56" s="377"/>
      <c r="BI56" s="377"/>
      <c r="BJ56" s="378"/>
      <c r="BK56" s="33"/>
    </row>
    <row r="57" spans="1:63" ht="15" customHeight="1">
      <c r="A57" s="31"/>
      <c r="B57" s="501"/>
      <c r="C57" s="502"/>
      <c r="D57" s="502"/>
      <c r="E57" s="502"/>
      <c r="F57" s="502"/>
      <c r="G57" s="503"/>
      <c r="H57" s="507"/>
      <c r="I57" s="508"/>
      <c r="J57" s="508"/>
      <c r="K57" s="508"/>
      <c r="L57" s="508"/>
      <c r="M57" s="508"/>
      <c r="N57" s="509"/>
      <c r="O57" s="513"/>
      <c r="P57" s="514"/>
      <c r="Q57" s="514"/>
      <c r="R57" s="515"/>
      <c r="S57" s="180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373"/>
      <c r="AY57" s="374"/>
      <c r="AZ57" s="374"/>
      <c r="BA57" s="374"/>
      <c r="BB57" s="374"/>
      <c r="BC57" s="375"/>
      <c r="BD57" s="373"/>
      <c r="BE57" s="374"/>
      <c r="BF57" s="374"/>
      <c r="BG57" s="374"/>
      <c r="BH57" s="374"/>
      <c r="BI57" s="374"/>
      <c r="BJ57" s="375"/>
      <c r="BK57" s="33"/>
    </row>
    <row r="58" spans="1:63" ht="15" customHeight="1">
      <c r="A58" s="31"/>
      <c r="B58" s="504"/>
      <c r="C58" s="505"/>
      <c r="D58" s="505"/>
      <c r="E58" s="505"/>
      <c r="F58" s="505"/>
      <c r="G58" s="506"/>
      <c r="H58" s="510"/>
      <c r="I58" s="511"/>
      <c r="J58" s="511"/>
      <c r="K58" s="511"/>
      <c r="L58" s="511"/>
      <c r="M58" s="511"/>
      <c r="N58" s="512"/>
      <c r="O58" s="516"/>
      <c r="P58" s="517"/>
      <c r="Q58" s="517"/>
      <c r="R58" s="518"/>
      <c r="S58" s="87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376"/>
      <c r="AY58" s="377"/>
      <c r="AZ58" s="377"/>
      <c r="BA58" s="377"/>
      <c r="BB58" s="377"/>
      <c r="BC58" s="378"/>
      <c r="BD58" s="376"/>
      <c r="BE58" s="377"/>
      <c r="BF58" s="377"/>
      <c r="BG58" s="377"/>
      <c r="BH58" s="377"/>
      <c r="BI58" s="377"/>
      <c r="BJ58" s="378"/>
      <c r="BK58" s="33"/>
    </row>
    <row r="59" spans="1:63" s="97" customFormat="1" ht="15" customHeight="1">
      <c r="A59" s="181"/>
      <c r="B59" s="477"/>
      <c r="C59" s="478"/>
      <c r="D59" s="478"/>
      <c r="E59" s="478"/>
      <c r="F59" s="478"/>
      <c r="G59" s="479"/>
      <c r="H59" s="483"/>
      <c r="I59" s="484"/>
      <c r="J59" s="484"/>
      <c r="K59" s="484"/>
      <c r="L59" s="484"/>
      <c r="M59" s="484"/>
      <c r="N59" s="485"/>
      <c r="O59" s="489"/>
      <c r="P59" s="490"/>
      <c r="Q59" s="490"/>
      <c r="R59" s="491"/>
      <c r="S59" s="166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361"/>
      <c r="AY59" s="362"/>
      <c r="AZ59" s="362"/>
      <c r="BA59" s="362"/>
      <c r="BB59" s="362"/>
      <c r="BC59" s="363"/>
      <c r="BD59" s="361"/>
      <c r="BE59" s="362"/>
      <c r="BF59" s="362"/>
      <c r="BG59" s="362"/>
      <c r="BH59" s="362"/>
      <c r="BI59" s="362"/>
      <c r="BJ59" s="363"/>
      <c r="BK59" s="182"/>
    </row>
    <row r="60" spans="1:63" s="97" customFormat="1" ht="15" customHeight="1">
      <c r="A60" s="181"/>
      <c r="B60" s="480"/>
      <c r="C60" s="481"/>
      <c r="D60" s="481"/>
      <c r="E60" s="481"/>
      <c r="F60" s="481"/>
      <c r="G60" s="482"/>
      <c r="H60" s="486"/>
      <c r="I60" s="487"/>
      <c r="J60" s="487"/>
      <c r="K60" s="487"/>
      <c r="L60" s="487"/>
      <c r="M60" s="487"/>
      <c r="N60" s="488"/>
      <c r="O60" s="492"/>
      <c r="P60" s="493"/>
      <c r="Q60" s="493"/>
      <c r="R60" s="494"/>
      <c r="S60" s="168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364"/>
      <c r="AY60" s="365"/>
      <c r="AZ60" s="365"/>
      <c r="BA60" s="365"/>
      <c r="BB60" s="365"/>
      <c r="BC60" s="366"/>
      <c r="BD60" s="364"/>
      <c r="BE60" s="365"/>
      <c r="BF60" s="365"/>
      <c r="BG60" s="365"/>
      <c r="BH60" s="365"/>
      <c r="BI60" s="365"/>
      <c r="BJ60" s="366"/>
      <c r="BK60" s="182"/>
    </row>
    <row r="61" spans="1:63" s="97" customFormat="1" ht="15" customHeight="1">
      <c r="A61" s="181"/>
      <c r="B61" s="343"/>
      <c r="C61" s="344"/>
      <c r="D61" s="344"/>
      <c r="E61" s="344"/>
      <c r="F61" s="344"/>
      <c r="G61" s="345"/>
      <c r="H61" s="349"/>
      <c r="I61" s="350"/>
      <c r="J61" s="350"/>
      <c r="K61" s="350"/>
      <c r="L61" s="350"/>
      <c r="M61" s="350"/>
      <c r="N61" s="351"/>
      <c r="O61" s="355"/>
      <c r="P61" s="356"/>
      <c r="Q61" s="356"/>
      <c r="R61" s="357"/>
      <c r="S61" s="183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361"/>
      <c r="AY61" s="362"/>
      <c r="AZ61" s="362"/>
      <c r="BA61" s="362"/>
      <c r="BB61" s="362"/>
      <c r="BC61" s="363"/>
      <c r="BD61" s="361"/>
      <c r="BE61" s="362"/>
      <c r="BF61" s="362"/>
      <c r="BG61" s="362"/>
      <c r="BH61" s="362"/>
      <c r="BI61" s="362"/>
      <c r="BJ61" s="363"/>
      <c r="BK61" s="182"/>
    </row>
    <row r="62" spans="1:63" s="97" customFormat="1" ht="15" customHeight="1">
      <c r="A62" s="181"/>
      <c r="B62" s="346"/>
      <c r="C62" s="347"/>
      <c r="D62" s="347"/>
      <c r="E62" s="347"/>
      <c r="F62" s="347"/>
      <c r="G62" s="348"/>
      <c r="H62" s="352"/>
      <c r="I62" s="353"/>
      <c r="J62" s="353"/>
      <c r="K62" s="353"/>
      <c r="L62" s="353"/>
      <c r="M62" s="353"/>
      <c r="N62" s="354"/>
      <c r="O62" s="358"/>
      <c r="P62" s="359"/>
      <c r="Q62" s="359"/>
      <c r="R62" s="360"/>
      <c r="S62" s="185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364"/>
      <c r="AY62" s="365"/>
      <c r="AZ62" s="365"/>
      <c r="BA62" s="365"/>
      <c r="BB62" s="365"/>
      <c r="BC62" s="366"/>
      <c r="BD62" s="364"/>
      <c r="BE62" s="365"/>
      <c r="BF62" s="365"/>
      <c r="BG62" s="365"/>
      <c r="BH62" s="365"/>
      <c r="BI62" s="365"/>
      <c r="BJ62" s="366"/>
      <c r="BK62" s="182"/>
    </row>
    <row r="63" spans="1:63" ht="15" customHeight="1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8"/>
    </row>
  </sheetData>
  <mergeCells count="148">
    <mergeCell ref="B59:G60"/>
    <mergeCell ref="H59:N60"/>
    <mergeCell ref="O59:R60"/>
    <mergeCell ref="AX59:BC60"/>
    <mergeCell ref="BD59:BJ60"/>
    <mergeCell ref="B57:G58"/>
    <mergeCell ref="H57:N58"/>
    <mergeCell ref="O57:R58"/>
    <mergeCell ref="B55:G56"/>
    <mergeCell ref="H55:N56"/>
    <mergeCell ref="O55:R56"/>
    <mergeCell ref="AX57:BC58"/>
    <mergeCell ref="BD57:BJ58"/>
    <mergeCell ref="H47:N48"/>
    <mergeCell ref="O47:R48"/>
    <mergeCell ref="AX49:BC50"/>
    <mergeCell ref="B53:G54"/>
    <mergeCell ref="H53:N54"/>
    <mergeCell ref="O53:R54"/>
    <mergeCell ref="B51:G52"/>
    <mergeCell ref="H51:N52"/>
    <mergeCell ref="AX47:BC48"/>
    <mergeCell ref="B47:G48"/>
    <mergeCell ref="B49:G50"/>
    <mergeCell ref="H49:N50"/>
    <mergeCell ref="O49:R50"/>
    <mergeCell ref="O51:R52"/>
    <mergeCell ref="BD51:BJ52"/>
    <mergeCell ref="AX53:BC54"/>
    <mergeCell ref="BD53:BJ54"/>
    <mergeCell ref="AX51:BC52"/>
    <mergeCell ref="AX45:BC46"/>
    <mergeCell ref="BD45:BJ46"/>
    <mergeCell ref="AX55:BC56"/>
    <mergeCell ref="BD55:BJ56"/>
    <mergeCell ref="BD49:BJ50"/>
    <mergeCell ref="BD47:BJ48"/>
    <mergeCell ref="H45:N46"/>
    <mergeCell ref="O45:R46"/>
    <mergeCell ref="H4:T4"/>
    <mergeCell ref="H21:N22"/>
    <mergeCell ref="O21:R22"/>
    <mergeCell ref="O23:R25"/>
    <mergeCell ref="B23:G25"/>
    <mergeCell ref="B21:G22"/>
    <mergeCell ref="B19:G20"/>
    <mergeCell ref="H19:N20"/>
    <mergeCell ref="B15:G16"/>
    <mergeCell ref="H15:N16"/>
    <mergeCell ref="B26:G27"/>
    <mergeCell ref="H26:N27"/>
    <mergeCell ref="O26:R27"/>
    <mergeCell ref="B31:G32"/>
    <mergeCell ref="H31:N32"/>
    <mergeCell ref="O31:R32"/>
    <mergeCell ref="B17:G18"/>
    <mergeCell ref="H17:N18"/>
    <mergeCell ref="O17:R18"/>
    <mergeCell ref="B39:G40"/>
    <mergeCell ref="H39:N40"/>
    <mergeCell ref="Z4:AO4"/>
    <mergeCell ref="AX13:BC14"/>
    <mergeCell ref="A4:G4"/>
    <mergeCell ref="B11:G12"/>
    <mergeCell ref="H11:N12"/>
    <mergeCell ref="AX10:BC10"/>
    <mergeCell ref="O11:R12"/>
    <mergeCell ref="B13:G14"/>
    <mergeCell ref="H13:N14"/>
    <mergeCell ref="O13:R14"/>
    <mergeCell ref="U4:Y4"/>
    <mergeCell ref="AX23:BC25"/>
    <mergeCell ref="BD23:BJ25"/>
    <mergeCell ref="H23:N25"/>
    <mergeCell ref="AX19:BC20"/>
    <mergeCell ref="AX15:BC16"/>
    <mergeCell ref="AX17:BC18"/>
    <mergeCell ref="O19:R20"/>
    <mergeCell ref="O15:R16"/>
    <mergeCell ref="AX26:BC27"/>
    <mergeCell ref="BD26:BJ27"/>
    <mergeCell ref="BD19:BJ20"/>
    <mergeCell ref="AX21:BC22"/>
    <mergeCell ref="BD21:BJ22"/>
    <mergeCell ref="BD15:BJ16"/>
    <mergeCell ref="BD17:BJ18"/>
    <mergeCell ref="BD13:BJ14"/>
    <mergeCell ref="BH1:BK1"/>
    <mergeCell ref="BC1:BG1"/>
    <mergeCell ref="AY1:BB1"/>
    <mergeCell ref="AT1:AX1"/>
    <mergeCell ref="AP4:BK4"/>
    <mergeCell ref="BD10:BJ10"/>
    <mergeCell ref="AX11:BC12"/>
    <mergeCell ref="BD11:BJ12"/>
    <mergeCell ref="A1:J1"/>
    <mergeCell ref="BH2:BK3"/>
    <mergeCell ref="BC2:BG3"/>
    <mergeCell ref="AY2:BB3"/>
    <mergeCell ref="AT2:AX3"/>
    <mergeCell ref="AP2:AS3"/>
    <mergeCell ref="AP1:AS1"/>
    <mergeCell ref="W1:AO3"/>
    <mergeCell ref="K1:V1"/>
    <mergeCell ref="K2:V3"/>
    <mergeCell ref="A2:J3"/>
    <mergeCell ref="AX31:BC32"/>
    <mergeCell ref="BD31:BJ32"/>
    <mergeCell ref="B28:G30"/>
    <mergeCell ref="H28:N30"/>
    <mergeCell ref="O28:R30"/>
    <mergeCell ref="AX28:BC30"/>
    <mergeCell ref="BD28:BJ30"/>
    <mergeCell ref="B35:G36"/>
    <mergeCell ref="H35:N36"/>
    <mergeCell ref="O35:R36"/>
    <mergeCell ref="AX35:BC36"/>
    <mergeCell ref="BD35:BJ36"/>
    <mergeCell ref="B33:G34"/>
    <mergeCell ref="H33:N34"/>
    <mergeCell ref="O33:R34"/>
    <mergeCell ref="S33:AW33"/>
    <mergeCell ref="AX33:BC34"/>
    <mergeCell ref="BD33:BJ34"/>
    <mergeCell ref="B61:G62"/>
    <mergeCell ref="H61:N62"/>
    <mergeCell ref="O61:R62"/>
    <mergeCell ref="AX61:BC62"/>
    <mergeCell ref="BD61:BJ62"/>
    <mergeCell ref="O39:R40"/>
    <mergeCell ref="AX39:BC40"/>
    <mergeCell ref="BD39:BJ40"/>
    <mergeCell ref="B37:G38"/>
    <mergeCell ref="H37:N38"/>
    <mergeCell ref="O37:R38"/>
    <mergeCell ref="AX37:BC38"/>
    <mergeCell ref="BD37:BJ38"/>
    <mergeCell ref="B43:G44"/>
    <mergeCell ref="H43:N44"/>
    <mergeCell ref="O43:R44"/>
    <mergeCell ref="AX43:BC44"/>
    <mergeCell ref="BD43:BJ44"/>
    <mergeCell ref="B41:G42"/>
    <mergeCell ref="H41:N42"/>
    <mergeCell ref="O41:R42"/>
    <mergeCell ref="AX41:BC42"/>
    <mergeCell ref="BD41:BJ42"/>
    <mergeCell ref="B45:G46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CN91"/>
  <sheetViews>
    <sheetView showGridLines="0" view="pageBreakPreview" zoomScaleNormal="75" zoomScaleSheetLayoutView="100" workbookViewId="0">
      <selection sqref="A1:J1"/>
    </sheetView>
  </sheetViews>
  <sheetFormatPr defaultColWidth="3.77734375" defaultRowHeight="19.5" customHeight="1"/>
  <cols>
    <col min="1" max="1" width="2.77734375" style="1" customWidth="1"/>
    <col min="2" max="2" width="2.77734375" style="6" customWidth="1"/>
    <col min="3" max="12" width="2.77734375" style="1" customWidth="1"/>
    <col min="13" max="13" width="14.6640625" style="1" customWidth="1"/>
    <col min="14" max="63" width="2.77734375" style="1" customWidth="1"/>
    <col min="64" max="64" width="3.77734375" style="1" customWidth="1"/>
    <col min="65" max="16384" width="3.77734375" style="1"/>
  </cols>
  <sheetData>
    <row r="1" spans="1:92" ht="24.95" customHeight="1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20"/>
      <c r="K1" s="318" t="s">
        <v>26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30" t="str">
        <f>IF(Bìa!W1="","",Bìa!W1)</f>
        <v>TKCB</v>
      </c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2"/>
      <c r="AP1" s="318" t="s">
        <v>18</v>
      </c>
      <c r="AQ1" s="319"/>
      <c r="AR1" s="319"/>
      <c r="AS1" s="320"/>
      <c r="AT1" s="318" t="s">
        <v>19</v>
      </c>
      <c r="AU1" s="319"/>
      <c r="AV1" s="319"/>
      <c r="AW1" s="319"/>
      <c r="AX1" s="320"/>
      <c r="AY1" s="318" t="s">
        <v>20</v>
      </c>
      <c r="AZ1" s="319"/>
      <c r="BA1" s="319"/>
      <c r="BB1" s="320"/>
      <c r="BC1" s="318" t="s">
        <v>21</v>
      </c>
      <c r="BD1" s="319"/>
      <c r="BE1" s="319"/>
      <c r="BF1" s="319"/>
      <c r="BG1" s="320"/>
      <c r="BH1" s="318" t="s">
        <v>2</v>
      </c>
      <c r="BI1" s="319"/>
      <c r="BJ1" s="319"/>
      <c r="BK1" s="320"/>
    </row>
    <row r="2" spans="1:92" ht="15" customHeight="1">
      <c r="A2" s="309" t="str">
        <f>IF(Bìa!A2="","",Bìa!A2)</f>
        <v>Manager User</v>
      </c>
      <c r="B2" s="310"/>
      <c r="C2" s="310"/>
      <c r="D2" s="310"/>
      <c r="E2" s="310"/>
      <c r="F2" s="310"/>
      <c r="G2" s="310"/>
      <c r="H2" s="310"/>
      <c r="I2" s="310"/>
      <c r="J2" s="311"/>
      <c r="K2" s="309" t="str">
        <f>IF(Bìa!K2="","",Bìa!K2)</f>
        <v>Thiết kế API</v>
      </c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1"/>
      <c r="W2" s="333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09" t="str">
        <f>IF(Bìa!AP2="","",Bìa!AP2)</f>
        <v>ThanhPD</v>
      </c>
      <c r="AQ2" s="310"/>
      <c r="AR2" s="310"/>
      <c r="AS2" s="311"/>
      <c r="AT2" s="321">
        <f>IF(Bìa!AT2="","",Bìa!AT2)</f>
        <v>44930</v>
      </c>
      <c r="AU2" s="322"/>
      <c r="AV2" s="322"/>
      <c r="AW2" s="322"/>
      <c r="AX2" s="323"/>
      <c r="AY2" s="309" t="str">
        <f>IF(Bìa!AY2="","",Bìa!AY2)</f>
        <v>ThanhPD</v>
      </c>
      <c r="AZ2" s="310"/>
      <c r="BA2" s="310"/>
      <c r="BB2" s="311"/>
      <c r="BC2" s="321">
        <f>IF(Bìa!BC2="","",Bìa!BC2)</f>
        <v>44930</v>
      </c>
      <c r="BD2" s="322"/>
      <c r="BE2" s="322"/>
      <c r="BF2" s="322"/>
      <c r="BG2" s="323"/>
      <c r="BH2" s="309">
        <f>IF(Bìa!BH2="","",Bìa!BH2)</f>
        <v>0.1</v>
      </c>
      <c r="BI2" s="310"/>
      <c r="BJ2" s="310"/>
      <c r="BK2" s="311"/>
    </row>
    <row r="3" spans="1:92" ht="15" customHeight="1">
      <c r="A3" s="315"/>
      <c r="B3" s="316"/>
      <c r="C3" s="316"/>
      <c r="D3" s="316"/>
      <c r="E3" s="316"/>
      <c r="F3" s="316"/>
      <c r="G3" s="316"/>
      <c r="H3" s="316"/>
      <c r="I3" s="316"/>
      <c r="J3" s="317"/>
      <c r="K3" s="315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7"/>
      <c r="W3" s="336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8"/>
      <c r="AP3" s="315"/>
      <c r="AQ3" s="316"/>
      <c r="AR3" s="316"/>
      <c r="AS3" s="317"/>
      <c r="AT3" s="324"/>
      <c r="AU3" s="325"/>
      <c r="AV3" s="325"/>
      <c r="AW3" s="325"/>
      <c r="AX3" s="326"/>
      <c r="AY3" s="315"/>
      <c r="AZ3" s="316"/>
      <c r="BA3" s="316"/>
      <c r="BB3" s="317"/>
      <c r="BC3" s="324"/>
      <c r="BD3" s="325"/>
      <c r="BE3" s="325"/>
      <c r="BF3" s="325"/>
      <c r="BG3" s="326"/>
      <c r="BH3" s="315"/>
      <c r="BI3" s="316"/>
      <c r="BJ3" s="316"/>
      <c r="BK3" s="317"/>
    </row>
    <row r="4" spans="1:92" ht="24.95" customHeight="1">
      <c r="A4" s="318" t="s">
        <v>17</v>
      </c>
      <c r="B4" s="319"/>
      <c r="C4" s="319"/>
      <c r="D4" s="319"/>
      <c r="E4" s="319"/>
      <c r="F4" s="319"/>
      <c r="G4" s="320"/>
      <c r="H4" s="339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1"/>
      <c r="U4" s="318" t="s">
        <v>22</v>
      </c>
      <c r="V4" s="319"/>
      <c r="W4" s="319"/>
      <c r="X4" s="319"/>
      <c r="Y4" s="320"/>
      <c r="Z4" s="339" t="str">
        <f>IF(Bìa!Z4="","",Bìa!Z4)</f>
        <v>Get employee</v>
      </c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1"/>
      <c r="AP4" s="339" t="s">
        <v>15</v>
      </c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0"/>
      <c r="BC4" s="340"/>
      <c r="BD4" s="340"/>
      <c r="BE4" s="340"/>
      <c r="BF4" s="340"/>
      <c r="BG4" s="340"/>
      <c r="BH4" s="340"/>
      <c r="BI4" s="340"/>
      <c r="BJ4" s="340"/>
      <c r="BK4" s="341"/>
    </row>
    <row r="5" spans="1:92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92" s="4" customFormat="1" ht="15" customHeight="1">
      <c r="A6" s="53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4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>
      <c r="A7" s="5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51"/>
      <c r="AQ7" s="51"/>
      <c r="AR7" s="56"/>
      <c r="AS7" s="51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92" ht="15" customHeight="1">
      <c r="A8" s="23"/>
      <c r="B8" s="57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51"/>
      <c r="AQ8" s="51"/>
      <c r="AR8" s="51"/>
      <c r="AS8" s="51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92" ht="15" customHeight="1">
      <c r="A9" s="23"/>
      <c r="B9" s="57"/>
      <c r="C9" s="52" t="s">
        <v>129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51"/>
      <c r="AQ9" s="51"/>
      <c r="AR9" s="51"/>
      <c r="AS9" s="51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92" ht="15" customHeight="1">
      <c r="A10" s="23"/>
      <c r="B10" s="24"/>
      <c r="C10" s="159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92" ht="15" customHeight="1">
      <c r="A11" s="23"/>
      <c r="B11" s="66" t="s">
        <v>32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92" ht="15" customHeight="1">
      <c r="A12" s="23"/>
      <c r="B12" s="24"/>
      <c r="C12" s="57" t="s">
        <v>8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92" ht="15" customHeight="1">
      <c r="A13" s="23"/>
      <c r="B13" s="24"/>
      <c r="C13" s="40" t="s">
        <v>27</v>
      </c>
      <c r="D13" s="41"/>
      <c r="E13" s="77" t="s">
        <v>38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0" t="s">
        <v>39</v>
      </c>
      <c r="X13" s="44"/>
      <c r="Y13" s="44"/>
      <c r="Z13" s="45"/>
      <c r="AA13" s="45"/>
      <c r="AB13" s="45"/>
      <c r="AC13" s="45"/>
      <c r="AD13" s="45"/>
      <c r="AE13" s="44"/>
      <c r="AF13" s="44"/>
      <c r="AG13" s="44"/>
      <c r="AH13" s="41"/>
      <c r="AI13" s="40" t="s">
        <v>9</v>
      </c>
      <c r="AJ13" s="44"/>
      <c r="AK13" s="44"/>
      <c r="AL13" s="44"/>
      <c r="AM13" s="45"/>
      <c r="AN13" s="48"/>
      <c r="AO13" s="48"/>
      <c r="AP13" s="49"/>
      <c r="AQ13" s="40" t="s">
        <v>28</v>
      </c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24"/>
      <c r="BK13" s="25"/>
    </row>
    <row r="14" spans="1:92" ht="15" customHeight="1">
      <c r="A14" s="23"/>
      <c r="B14" s="24"/>
      <c r="C14" s="42">
        <v>1</v>
      </c>
      <c r="D14" s="43"/>
      <c r="E14" s="83" t="s">
        <v>130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3" t="str">
        <f>Z4</f>
        <v>Get employee</v>
      </c>
      <c r="X14" s="84"/>
      <c r="Y14" s="84"/>
      <c r="Z14" s="46"/>
      <c r="AA14" s="46"/>
      <c r="AB14" s="46"/>
      <c r="AC14" s="46"/>
      <c r="AD14" s="46"/>
      <c r="AE14" s="47"/>
      <c r="AF14" s="47"/>
      <c r="AG14" s="47"/>
      <c r="AH14" s="43"/>
      <c r="AI14" s="42" t="s">
        <v>113</v>
      </c>
      <c r="AJ14" s="47"/>
      <c r="AK14" s="47"/>
      <c r="AL14" s="47"/>
      <c r="AM14" s="46"/>
      <c r="AN14" s="47"/>
      <c r="AO14" s="47"/>
      <c r="AP14" s="43"/>
      <c r="AQ14" s="50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3"/>
      <c r="BJ14" s="24"/>
      <c r="BK14" s="25"/>
    </row>
    <row r="15" spans="1:92" ht="15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92" ht="15" customHeight="1">
      <c r="A16" s="23"/>
      <c r="B16" s="24"/>
      <c r="C16" s="57" t="s">
        <v>10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24"/>
      <c r="C17" s="40" t="s">
        <v>27</v>
      </c>
      <c r="D17" s="41"/>
      <c r="E17" s="40" t="s">
        <v>11</v>
      </c>
      <c r="F17" s="44"/>
      <c r="G17" s="44"/>
      <c r="H17" s="44"/>
      <c r="I17" s="64"/>
      <c r="J17" s="64"/>
      <c r="K17" s="41"/>
      <c r="L17" s="40" t="s">
        <v>12</v>
      </c>
      <c r="M17" s="44"/>
      <c r="N17" s="44"/>
      <c r="O17" s="44"/>
      <c r="P17" s="64"/>
      <c r="Q17" s="64"/>
      <c r="R17" s="41"/>
      <c r="S17" s="40" t="s">
        <v>29</v>
      </c>
      <c r="T17" s="44"/>
      <c r="U17" s="44"/>
      <c r="V17" s="44"/>
      <c r="W17" s="64"/>
      <c r="X17" s="64"/>
      <c r="Y17" s="41"/>
      <c r="Z17" s="40" t="s">
        <v>13</v>
      </c>
      <c r="AA17" s="44"/>
      <c r="AB17" s="44"/>
      <c r="AC17" s="44"/>
      <c r="AD17" s="64"/>
      <c r="AE17" s="64"/>
      <c r="AF17" s="41"/>
      <c r="AG17" s="40" t="s">
        <v>30</v>
      </c>
      <c r="AH17" s="44"/>
      <c r="AI17" s="44"/>
      <c r="AJ17" s="44"/>
      <c r="AK17" s="64"/>
      <c r="AL17" s="64"/>
      <c r="AM17" s="44"/>
      <c r="AN17" s="44"/>
      <c r="AO17" s="44"/>
      <c r="AP17" s="65"/>
      <c r="AQ17" s="40" t="s">
        <v>28</v>
      </c>
      <c r="AR17" s="44"/>
      <c r="AS17" s="44"/>
      <c r="AT17" s="44"/>
      <c r="AU17" s="44"/>
      <c r="AV17" s="44"/>
      <c r="AW17" s="44"/>
      <c r="AX17" s="44"/>
      <c r="AY17" s="44"/>
      <c r="AZ17" s="44"/>
      <c r="BA17" s="48"/>
      <c r="BB17" s="48"/>
      <c r="BC17" s="48"/>
      <c r="BD17" s="48"/>
      <c r="BE17" s="48"/>
      <c r="BF17" s="48"/>
      <c r="BG17" s="48"/>
      <c r="BH17" s="48"/>
      <c r="BI17" s="49"/>
      <c r="BJ17" s="24"/>
      <c r="BK17" s="25"/>
    </row>
    <row r="18" spans="1:63" ht="15" customHeight="1">
      <c r="A18" s="23"/>
      <c r="B18" s="24"/>
      <c r="C18" s="187">
        <v>1</v>
      </c>
      <c r="D18" s="188"/>
      <c r="E18" s="187" t="s">
        <v>131</v>
      </c>
      <c r="F18" s="78"/>
      <c r="G18" s="78"/>
      <c r="H18" s="78"/>
      <c r="I18" s="93"/>
      <c r="J18" s="93"/>
      <c r="K18" s="188"/>
      <c r="L18" s="187" t="s">
        <v>114</v>
      </c>
      <c r="M18" s="93"/>
      <c r="N18" s="78"/>
      <c r="O18" s="93"/>
      <c r="P18" s="59"/>
      <c r="Q18" s="59"/>
      <c r="R18" s="79"/>
      <c r="S18" s="187" t="s">
        <v>37</v>
      </c>
      <c r="T18" s="59"/>
      <c r="U18" s="59"/>
      <c r="V18" s="59"/>
      <c r="W18" s="59"/>
      <c r="X18" s="59"/>
      <c r="Y18" s="79"/>
      <c r="Z18" s="98" t="s">
        <v>36</v>
      </c>
      <c r="AA18" s="59"/>
      <c r="AB18" s="78"/>
      <c r="AC18" s="78"/>
      <c r="AD18" s="78"/>
      <c r="AE18" s="78"/>
      <c r="AF18" s="188"/>
      <c r="AG18" s="187" t="s">
        <v>132</v>
      </c>
      <c r="AH18" s="78"/>
      <c r="AI18" s="78"/>
      <c r="AJ18" s="78"/>
      <c r="AK18" s="78"/>
      <c r="AL18" s="78"/>
      <c r="AM18" s="78"/>
      <c r="AN18" s="78"/>
      <c r="AO18" s="78"/>
      <c r="AP18" s="79"/>
      <c r="AQ18" s="537"/>
      <c r="AR18" s="538"/>
      <c r="AS18" s="538"/>
      <c r="AT18" s="538"/>
      <c r="AU18" s="538"/>
      <c r="AV18" s="538"/>
      <c r="AW18" s="538"/>
      <c r="AX18" s="538"/>
      <c r="AY18" s="538"/>
      <c r="AZ18" s="538"/>
      <c r="BA18" s="538"/>
      <c r="BB18" s="538"/>
      <c r="BC18" s="538"/>
      <c r="BD18" s="538"/>
      <c r="BE18" s="538"/>
      <c r="BF18" s="538"/>
      <c r="BG18" s="538"/>
      <c r="BH18" s="538"/>
      <c r="BI18" s="539"/>
      <c r="BJ18" s="24"/>
      <c r="BK18" s="25"/>
    </row>
    <row r="19" spans="1:63" ht="15" customHeight="1">
      <c r="A19" s="23"/>
      <c r="B19" s="24"/>
      <c r="C19" s="189"/>
      <c r="D19" s="190"/>
      <c r="E19" s="189"/>
      <c r="F19" s="81"/>
      <c r="G19" s="81"/>
      <c r="H19" s="81"/>
      <c r="I19" s="95"/>
      <c r="J19" s="95"/>
      <c r="K19" s="190"/>
      <c r="L19" s="189"/>
      <c r="M19" s="95"/>
      <c r="N19" s="81"/>
      <c r="O19" s="95"/>
      <c r="P19" s="60"/>
      <c r="Q19" s="60"/>
      <c r="R19" s="82"/>
      <c r="S19" s="189"/>
      <c r="T19" s="60"/>
      <c r="U19" s="60"/>
      <c r="V19" s="60"/>
      <c r="W19" s="60"/>
      <c r="X19" s="60"/>
      <c r="Y19" s="82"/>
      <c r="Z19" s="99"/>
      <c r="AA19" s="60"/>
      <c r="AB19" s="81"/>
      <c r="AC19" s="81"/>
      <c r="AD19" s="81"/>
      <c r="AE19" s="81"/>
      <c r="AF19" s="190"/>
      <c r="AG19" s="189"/>
      <c r="AH19" s="81"/>
      <c r="AI19" s="81"/>
      <c r="AJ19" s="81"/>
      <c r="AK19" s="81"/>
      <c r="AL19" s="81"/>
      <c r="AM19" s="81"/>
      <c r="AN19" s="81"/>
      <c r="AO19" s="81"/>
      <c r="AP19" s="82"/>
      <c r="AQ19" s="540"/>
      <c r="AR19" s="541"/>
      <c r="AS19" s="541"/>
      <c r="AT19" s="541"/>
      <c r="AU19" s="541"/>
      <c r="AV19" s="541"/>
      <c r="AW19" s="541"/>
      <c r="AX19" s="541"/>
      <c r="AY19" s="541"/>
      <c r="AZ19" s="541"/>
      <c r="BA19" s="541"/>
      <c r="BB19" s="541"/>
      <c r="BC19" s="541"/>
      <c r="BD19" s="541"/>
      <c r="BE19" s="541"/>
      <c r="BF19" s="541"/>
      <c r="BG19" s="541"/>
      <c r="BH19" s="541"/>
      <c r="BI19" s="542"/>
      <c r="BJ19" s="24"/>
      <c r="BK19" s="25"/>
    </row>
    <row r="20" spans="1:63" ht="15.75">
      <c r="A20" s="58"/>
      <c r="B20" s="5"/>
      <c r="C20" s="100" t="s">
        <v>51</v>
      </c>
      <c r="D20" s="101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5"/>
      <c r="BK20" s="5"/>
    </row>
    <row r="21" spans="1:63" ht="15.75" customHeight="1">
      <c r="A21" s="58"/>
      <c r="B21" s="5"/>
      <c r="C21" s="39"/>
      <c r="D21" s="187" t="s">
        <v>133</v>
      </c>
      <c r="E21" s="93"/>
      <c r="F21" s="93"/>
      <c r="G21" s="93"/>
      <c r="H21" s="93"/>
      <c r="I21" s="287"/>
      <c r="J21" s="287"/>
      <c r="K21" s="287"/>
      <c r="L21" s="288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4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5"/>
      <c r="BK21" s="5"/>
    </row>
    <row r="22" spans="1:63" ht="15.75" customHeight="1">
      <c r="A22" s="58"/>
      <c r="B22" s="5"/>
      <c r="C22" s="39"/>
      <c r="D22" s="300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6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5"/>
      <c r="BK22" s="5"/>
    </row>
    <row r="23" spans="1:63" ht="13.5">
      <c r="A23" s="58"/>
      <c r="B23" s="5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5"/>
      <c r="BK23" s="5"/>
    </row>
    <row r="24" spans="1:63" ht="15" customHeight="1">
      <c r="A24" s="23"/>
      <c r="B24" s="24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24"/>
      <c r="BK24" s="25"/>
    </row>
    <row r="25" spans="1:63" ht="15" customHeight="1">
      <c r="A25" s="23"/>
      <c r="B25" s="57" t="s">
        <v>14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24"/>
      <c r="BK25" s="25"/>
    </row>
    <row r="26" spans="1:63" ht="15" customHeight="1">
      <c r="A26" s="23"/>
      <c r="B26" s="57"/>
      <c r="C26" s="51" t="s">
        <v>96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24"/>
      <c r="BK26" s="25"/>
    </row>
    <row r="27" spans="1:63" ht="15" customHeight="1">
      <c r="A27" s="23"/>
      <c r="B27" s="57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24"/>
      <c r="BK27" s="25"/>
    </row>
    <row r="28" spans="1:63" ht="15" customHeight="1">
      <c r="A28" s="23"/>
      <c r="B28" s="24"/>
      <c r="C28" s="102" t="s">
        <v>52</v>
      </c>
      <c r="D28" s="103"/>
      <c r="E28" s="102" t="s">
        <v>33</v>
      </c>
      <c r="F28" s="104"/>
      <c r="G28" s="104"/>
      <c r="H28" s="104"/>
      <c r="I28" s="105"/>
      <c r="J28" s="105"/>
      <c r="K28" s="104"/>
      <c r="L28" s="113"/>
      <c r="M28" s="113"/>
      <c r="N28" s="102" t="s">
        <v>53</v>
      </c>
      <c r="O28" s="104"/>
      <c r="P28" s="105"/>
      <c r="Q28" s="105"/>
      <c r="R28" s="103"/>
      <c r="S28" s="102" t="s">
        <v>54</v>
      </c>
      <c r="T28" s="104"/>
      <c r="U28" s="104"/>
      <c r="V28" s="104"/>
      <c r="W28" s="105"/>
      <c r="X28" s="105"/>
      <c r="Y28" s="104"/>
      <c r="Z28" s="104"/>
      <c r="AA28" s="104"/>
      <c r="AB28" s="106"/>
      <c r="AC28" s="102" t="s">
        <v>55</v>
      </c>
      <c r="AD28" s="104"/>
      <c r="AE28" s="104"/>
      <c r="AF28" s="104"/>
      <c r="AG28" s="104"/>
      <c r="AH28" s="104"/>
      <c r="AI28" s="104"/>
      <c r="AJ28" s="104"/>
      <c r="AK28" s="104"/>
      <c r="AL28" s="104"/>
      <c r="AM28" s="107"/>
      <c r="AN28" s="107"/>
      <c r="AO28" s="107"/>
      <c r="AP28" s="107"/>
      <c r="AQ28" s="107"/>
      <c r="AR28" s="107"/>
      <c r="AS28" s="107"/>
      <c r="AT28" s="107"/>
      <c r="AU28" s="108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24"/>
      <c r="BK28" s="25"/>
    </row>
    <row r="29" spans="1:63" s="2" customFormat="1" ht="15" customHeight="1">
      <c r="A29" s="271"/>
      <c r="B29" s="260"/>
      <c r="C29" s="276">
        <v>1</v>
      </c>
      <c r="D29" s="277"/>
      <c r="E29" s="278" t="s">
        <v>168</v>
      </c>
      <c r="F29" s="278"/>
      <c r="G29" s="278"/>
      <c r="H29" s="278"/>
      <c r="I29" s="272"/>
      <c r="J29" s="272"/>
      <c r="K29" s="278"/>
      <c r="L29" s="273"/>
      <c r="M29" s="273"/>
      <c r="N29" s="276" t="s">
        <v>35</v>
      </c>
      <c r="O29" s="278"/>
      <c r="P29" s="272"/>
      <c r="Q29" s="272"/>
      <c r="R29" s="277"/>
      <c r="S29" s="276"/>
      <c r="T29" s="278"/>
      <c r="U29" s="278"/>
      <c r="V29" s="278"/>
      <c r="W29" s="272"/>
      <c r="X29" s="272"/>
      <c r="Y29" s="278"/>
      <c r="Z29" s="278"/>
      <c r="AA29" s="278"/>
      <c r="AB29" s="274"/>
      <c r="AC29" s="276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7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260"/>
      <c r="BK29" s="275"/>
    </row>
    <row r="30" spans="1:63" ht="15" customHeight="1">
      <c r="A30" s="23"/>
      <c r="B30" s="24"/>
      <c r="C30" s="148">
        <f t="shared" ref="C30:C44" si="0">ROW()-ROW($C$28)</f>
        <v>2</v>
      </c>
      <c r="D30" s="109"/>
      <c r="E30" s="193" t="s">
        <v>131</v>
      </c>
      <c r="F30" s="193"/>
      <c r="G30" s="191"/>
      <c r="H30" s="151"/>
      <c r="I30" s="191"/>
      <c r="J30" s="191"/>
      <c r="K30" s="151"/>
      <c r="L30" s="191"/>
      <c r="M30" s="191"/>
      <c r="N30" s="148" t="s">
        <v>35</v>
      </c>
      <c r="O30" s="149"/>
      <c r="P30" s="149"/>
      <c r="Q30" s="149"/>
      <c r="R30" s="129"/>
      <c r="S30" s="124"/>
      <c r="T30" s="126"/>
      <c r="U30" s="126"/>
      <c r="V30" s="126"/>
      <c r="W30" s="126"/>
      <c r="X30" s="126"/>
      <c r="Y30" s="126"/>
      <c r="Z30" s="126"/>
      <c r="AA30" s="126"/>
      <c r="AB30" s="129"/>
      <c r="AC30" s="124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5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24"/>
      <c r="BK30" s="25"/>
    </row>
    <row r="31" spans="1:63" s="92" customFormat="1" ht="15" customHeight="1">
      <c r="A31" s="89"/>
      <c r="B31" s="90"/>
      <c r="C31" s="148">
        <f t="shared" si="0"/>
        <v>3</v>
      </c>
      <c r="D31" s="109"/>
      <c r="E31" s="193" t="s">
        <v>134</v>
      </c>
      <c r="F31" s="193"/>
      <c r="G31" s="191"/>
      <c r="H31" s="151"/>
      <c r="I31" s="151"/>
      <c r="J31" s="151"/>
      <c r="K31" s="151"/>
      <c r="L31" s="191"/>
      <c r="M31" s="191"/>
      <c r="N31" s="148" t="s">
        <v>40</v>
      </c>
      <c r="O31" s="151"/>
      <c r="P31" s="149"/>
      <c r="Q31" s="149"/>
      <c r="R31" s="129"/>
      <c r="S31" s="124"/>
      <c r="T31" s="126"/>
      <c r="U31" s="126"/>
      <c r="V31" s="126"/>
      <c r="W31" s="126"/>
      <c r="X31" s="126"/>
      <c r="Y31" s="126"/>
      <c r="Z31" s="126"/>
      <c r="AA31" s="126"/>
      <c r="AB31" s="129"/>
      <c r="AC31" s="124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5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90"/>
      <c r="BK31" s="91"/>
    </row>
    <row r="32" spans="1:63" s="92" customFormat="1" ht="15" customHeight="1">
      <c r="A32" s="89"/>
      <c r="B32" s="90"/>
      <c r="C32" s="148">
        <f t="shared" si="0"/>
        <v>4</v>
      </c>
      <c r="D32" s="109"/>
      <c r="E32" s="193" t="s">
        <v>135</v>
      </c>
      <c r="F32" s="193"/>
      <c r="G32" s="191"/>
      <c r="H32" s="151"/>
      <c r="I32" s="151"/>
      <c r="J32" s="151"/>
      <c r="K32" s="151"/>
      <c r="L32" s="191"/>
      <c r="M32" s="191"/>
      <c r="N32" s="148" t="s">
        <v>93</v>
      </c>
      <c r="O32" s="151"/>
      <c r="P32" s="149"/>
      <c r="Q32" s="149"/>
      <c r="R32" s="129"/>
      <c r="S32" s="124"/>
      <c r="T32" s="126"/>
      <c r="U32" s="126"/>
      <c r="V32" s="126"/>
      <c r="W32" s="126"/>
      <c r="X32" s="126"/>
      <c r="Y32" s="126"/>
      <c r="Z32" s="126"/>
      <c r="AA32" s="126"/>
      <c r="AB32" s="129"/>
      <c r="AC32" s="124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5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90"/>
      <c r="BK32" s="91"/>
    </row>
    <row r="33" spans="1:63" s="92" customFormat="1" ht="15" customHeight="1">
      <c r="A33" s="89"/>
      <c r="B33" s="90"/>
      <c r="C33" s="148">
        <f t="shared" si="0"/>
        <v>5</v>
      </c>
      <c r="D33" s="109"/>
      <c r="E33" s="151" t="s">
        <v>124</v>
      </c>
      <c r="F33" s="151"/>
      <c r="G33" s="191"/>
      <c r="H33" s="151"/>
      <c r="I33" s="151"/>
      <c r="J33" s="151"/>
      <c r="K33" s="151"/>
      <c r="L33" s="191"/>
      <c r="M33" s="191"/>
      <c r="N33" s="148" t="s">
        <v>40</v>
      </c>
      <c r="O33" s="151"/>
      <c r="P33" s="149"/>
      <c r="Q33" s="149"/>
      <c r="R33" s="129"/>
      <c r="S33" s="124"/>
      <c r="T33" s="126"/>
      <c r="U33" s="126"/>
      <c r="V33" s="126"/>
      <c r="W33" s="126"/>
      <c r="X33" s="126"/>
      <c r="Y33" s="126"/>
      <c r="Z33" s="126"/>
      <c r="AA33" s="126"/>
      <c r="AB33" s="129"/>
      <c r="AC33" s="124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5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90"/>
      <c r="BK33" s="91"/>
    </row>
    <row r="34" spans="1:63" s="92" customFormat="1" ht="15" customHeight="1">
      <c r="A34" s="89"/>
      <c r="B34" s="90"/>
      <c r="C34" s="148">
        <f t="shared" si="0"/>
        <v>6</v>
      </c>
      <c r="D34" s="109"/>
      <c r="E34" s="151" t="s">
        <v>46</v>
      </c>
      <c r="F34" s="151"/>
      <c r="G34" s="191"/>
      <c r="H34" s="151"/>
      <c r="I34" s="151"/>
      <c r="J34" s="151"/>
      <c r="K34" s="151"/>
      <c r="L34" s="191"/>
      <c r="M34" s="191"/>
      <c r="N34" s="148" t="s">
        <v>40</v>
      </c>
      <c r="O34" s="151"/>
      <c r="P34" s="149"/>
      <c r="Q34" s="149"/>
      <c r="R34" s="129"/>
      <c r="S34" s="124"/>
      <c r="T34" s="126"/>
      <c r="U34" s="126"/>
      <c r="V34" s="126"/>
      <c r="W34" s="126"/>
      <c r="X34" s="126"/>
      <c r="Y34" s="126"/>
      <c r="Z34" s="126"/>
      <c r="AA34" s="126"/>
      <c r="AB34" s="129"/>
      <c r="AC34" s="124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5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90"/>
      <c r="BK34" s="91"/>
    </row>
    <row r="35" spans="1:63" ht="15" customHeight="1">
      <c r="A35" s="23"/>
      <c r="B35" s="24"/>
      <c r="C35" s="148">
        <f t="shared" si="0"/>
        <v>7</v>
      </c>
      <c r="D35" s="109"/>
      <c r="E35" s="193" t="s">
        <v>136</v>
      </c>
      <c r="F35" s="193"/>
      <c r="G35" s="191"/>
      <c r="H35" s="151"/>
      <c r="I35" s="151"/>
      <c r="J35" s="151"/>
      <c r="K35" s="151"/>
      <c r="L35" s="191"/>
      <c r="M35" s="191"/>
      <c r="N35" s="148" t="s">
        <v>40</v>
      </c>
      <c r="O35" s="151"/>
      <c r="P35" s="149"/>
      <c r="Q35" s="149"/>
      <c r="R35" s="129"/>
      <c r="S35" s="124"/>
      <c r="T35" s="126"/>
      <c r="U35" s="126"/>
      <c r="V35" s="126"/>
      <c r="W35" s="126"/>
      <c r="X35" s="126"/>
      <c r="Y35" s="126"/>
      <c r="Z35" s="126"/>
      <c r="AA35" s="126"/>
      <c r="AB35" s="129"/>
      <c r="AC35" s="124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5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24"/>
      <c r="BK35" s="25"/>
    </row>
    <row r="36" spans="1:63" ht="15" customHeight="1">
      <c r="A36" s="23"/>
      <c r="B36" s="24"/>
      <c r="C36" s="148">
        <f t="shared" si="0"/>
        <v>8</v>
      </c>
      <c r="D36" s="109"/>
      <c r="E36" s="151" t="s">
        <v>137</v>
      </c>
      <c r="F36" s="151"/>
      <c r="G36" s="191"/>
      <c r="H36" s="151"/>
      <c r="I36" s="151"/>
      <c r="J36" s="151"/>
      <c r="K36" s="151"/>
      <c r="L36" s="191"/>
      <c r="M36" s="191"/>
      <c r="N36" s="148" t="s">
        <v>40</v>
      </c>
      <c r="O36" s="151"/>
      <c r="P36" s="149"/>
      <c r="Q36" s="149"/>
      <c r="R36" s="129"/>
      <c r="S36" s="124"/>
      <c r="T36" s="126"/>
      <c r="U36" s="126"/>
      <c r="V36" s="126"/>
      <c r="W36" s="126"/>
      <c r="X36" s="126"/>
      <c r="Y36" s="126"/>
      <c r="Z36" s="126"/>
      <c r="AA36" s="126"/>
      <c r="AB36" s="129"/>
      <c r="AC36" s="124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5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24"/>
      <c r="BK36" s="25"/>
    </row>
    <row r="37" spans="1:63" ht="15" customHeight="1">
      <c r="A37" s="23"/>
      <c r="B37" s="24"/>
      <c r="C37" s="148">
        <f t="shared" si="0"/>
        <v>9</v>
      </c>
      <c r="D37" s="109"/>
      <c r="E37" s="151" t="s">
        <v>138</v>
      </c>
      <c r="F37" s="151"/>
      <c r="G37" s="191"/>
      <c r="H37" s="151"/>
      <c r="I37" s="151"/>
      <c r="J37" s="151"/>
      <c r="K37" s="151"/>
      <c r="L37" s="191"/>
      <c r="M37" s="191"/>
      <c r="N37" s="148" t="s">
        <v>40</v>
      </c>
      <c r="O37" s="151"/>
      <c r="P37" s="149"/>
      <c r="Q37" s="149"/>
      <c r="R37" s="129"/>
      <c r="S37" s="124"/>
      <c r="T37" s="126"/>
      <c r="U37" s="126"/>
      <c r="V37" s="126"/>
      <c r="W37" s="126"/>
      <c r="X37" s="126"/>
      <c r="Y37" s="126"/>
      <c r="Z37" s="126"/>
      <c r="AA37" s="126"/>
      <c r="AB37" s="129"/>
      <c r="AC37" s="124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5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24"/>
      <c r="BK37" s="25"/>
    </row>
    <row r="38" spans="1:63" ht="15" customHeight="1">
      <c r="A38" s="23"/>
      <c r="B38" s="24"/>
      <c r="C38" s="148">
        <f t="shared" si="0"/>
        <v>10</v>
      </c>
      <c r="D38" s="109"/>
      <c r="E38" s="151" t="s">
        <v>139</v>
      </c>
      <c r="F38" s="151"/>
      <c r="G38" s="191"/>
      <c r="H38" s="151"/>
      <c r="I38" s="151"/>
      <c r="J38" s="151"/>
      <c r="K38" s="151"/>
      <c r="L38" s="191"/>
      <c r="M38" s="191"/>
      <c r="N38" s="148" t="s">
        <v>40</v>
      </c>
      <c r="O38" s="151"/>
      <c r="P38" s="149"/>
      <c r="Q38" s="149"/>
      <c r="R38" s="129"/>
      <c r="S38" s="124"/>
      <c r="T38" s="126"/>
      <c r="U38" s="126"/>
      <c r="V38" s="126"/>
      <c r="W38" s="126"/>
      <c r="X38" s="126"/>
      <c r="Y38" s="126"/>
      <c r="Z38" s="126"/>
      <c r="AA38" s="126"/>
      <c r="AB38" s="129"/>
      <c r="AC38" s="124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5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24"/>
      <c r="BK38" s="25"/>
    </row>
    <row r="39" spans="1:63" ht="15" customHeight="1">
      <c r="A39" s="23"/>
      <c r="B39" s="24"/>
      <c r="C39" s="148">
        <f t="shared" si="0"/>
        <v>11</v>
      </c>
      <c r="D39" s="109"/>
      <c r="E39" s="141" t="s">
        <v>148</v>
      </c>
      <c r="F39" s="47"/>
      <c r="G39" s="47"/>
      <c r="H39" s="47"/>
      <c r="I39" s="137"/>
      <c r="J39" s="137"/>
      <c r="K39" s="126"/>
      <c r="L39" s="127"/>
      <c r="M39" s="127"/>
      <c r="N39" s="148" t="s">
        <v>34</v>
      </c>
      <c r="O39" s="149"/>
      <c r="P39" s="149"/>
      <c r="Q39" s="149"/>
      <c r="R39" s="150"/>
      <c r="S39" s="148"/>
      <c r="T39" s="151"/>
      <c r="U39" s="151"/>
      <c r="V39" s="151"/>
      <c r="W39" s="151"/>
      <c r="X39" s="151"/>
      <c r="Y39" s="151"/>
      <c r="Z39" s="151"/>
      <c r="AA39" s="151"/>
      <c r="AB39" s="150"/>
      <c r="AC39" s="148" t="s">
        <v>147</v>
      </c>
      <c r="AD39" s="151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5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24"/>
      <c r="BK39" s="25"/>
    </row>
    <row r="40" spans="1:63" ht="15" customHeight="1">
      <c r="A40" s="23"/>
      <c r="B40" s="24"/>
      <c r="C40" s="148">
        <f t="shared" si="0"/>
        <v>12</v>
      </c>
      <c r="D40" s="109"/>
      <c r="E40" s="141"/>
      <c r="F40" s="151" t="s">
        <v>149</v>
      </c>
      <c r="G40" s="47"/>
      <c r="H40" s="47"/>
      <c r="I40" s="137"/>
      <c r="J40" s="137"/>
      <c r="K40" s="126"/>
      <c r="L40" s="127"/>
      <c r="M40" s="127"/>
      <c r="N40" s="148" t="s">
        <v>35</v>
      </c>
      <c r="O40" s="149"/>
      <c r="P40" s="149"/>
      <c r="Q40" s="149"/>
      <c r="R40" s="150"/>
      <c r="S40" s="148"/>
      <c r="T40" s="151"/>
      <c r="U40" s="151"/>
      <c r="V40" s="151"/>
      <c r="W40" s="151"/>
      <c r="X40" s="151"/>
      <c r="Y40" s="151"/>
      <c r="Z40" s="151"/>
      <c r="AA40" s="151"/>
      <c r="AB40" s="150"/>
      <c r="AC40" s="148"/>
      <c r="AD40" s="151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5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24"/>
      <c r="BK40" s="25"/>
    </row>
    <row r="41" spans="1:63" ht="15" customHeight="1">
      <c r="A41" s="23"/>
      <c r="B41" s="24"/>
      <c r="C41" s="148">
        <f t="shared" si="0"/>
        <v>13</v>
      </c>
      <c r="D41" s="109"/>
      <c r="E41" s="148"/>
      <c r="F41" s="151" t="s">
        <v>150</v>
      </c>
      <c r="G41" s="191"/>
      <c r="H41" s="151"/>
      <c r="I41" s="151"/>
      <c r="J41" s="151"/>
      <c r="K41" s="151"/>
      <c r="L41" s="191"/>
      <c r="M41" s="191"/>
      <c r="N41" s="148" t="s">
        <v>40</v>
      </c>
      <c r="O41" s="151"/>
      <c r="P41" s="149"/>
      <c r="Q41" s="149"/>
      <c r="R41" s="129"/>
      <c r="S41" s="124"/>
      <c r="T41" s="126"/>
      <c r="U41" s="126"/>
      <c r="V41" s="126"/>
      <c r="W41" s="126"/>
      <c r="X41" s="126"/>
      <c r="Y41" s="126"/>
      <c r="Z41" s="126"/>
      <c r="AA41" s="126"/>
      <c r="AB41" s="129"/>
      <c r="AC41" s="124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5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24"/>
      <c r="BK41" s="25"/>
    </row>
    <row r="42" spans="1:63" ht="15" customHeight="1">
      <c r="A42" s="23"/>
      <c r="B42" s="24"/>
      <c r="C42" s="148">
        <f t="shared" si="0"/>
        <v>14</v>
      </c>
      <c r="D42" s="109"/>
      <c r="E42" s="148"/>
      <c r="F42" s="256" t="s">
        <v>171</v>
      </c>
      <c r="G42" s="191"/>
      <c r="H42" s="151"/>
      <c r="I42" s="151"/>
      <c r="J42" s="151"/>
      <c r="K42" s="151"/>
      <c r="L42" s="191"/>
      <c r="M42" s="297"/>
      <c r="N42" s="194" t="s">
        <v>93</v>
      </c>
      <c r="O42" s="151"/>
      <c r="P42" s="149"/>
      <c r="Q42" s="149"/>
      <c r="R42" s="129"/>
      <c r="S42" s="124"/>
      <c r="T42" s="126"/>
      <c r="U42" s="126"/>
      <c r="V42" s="126"/>
      <c r="W42" s="126"/>
      <c r="X42" s="126"/>
      <c r="Y42" s="126"/>
      <c r="Z42" s="126"/>
      <c r="AA42" s="126"/>
      <c r="AB42" s="129"/>
      <c r="AC42" s="124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5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24"/>
      <c r="BK42" s="25"/>
    </row>
    <row r="43" spans="1:63" s="158" customFormat="1" ht="15" customHeight="1">
      <c r="A43" s="152"/>
      <c r="B43" s="153"/>
      <c r="C43" s="148">
        <f t="shared" si="0"/>
        <v>15</v>
      </c>
      <c r="D43" s="109"/>
      <c r="E43" s="194"/>
      <c r="F43" s="256" t="s">
        <v>172</v>
      </c>
      <c r="G43" s="195"/>
      <c r="H43" s="192"/>
      <c r="I43" s="192"/>
      <c r="J43" s="192"/>
      <c r="K43" s="192"/>
      <c r="L43" s="195"/>
      <c r="M43" s="297"/>
      <c r="N43" s="194" t="s">
        <v>93</v>
      </c>
      <c r="O43" s="192"/>
      <c r="P43" s="192"/>
      <c r="Q43" s="192"/>
      <c r="R43" s="163"/>
      <c r="S43" s="154"/>
      <c r="T43" s="156"/>
      <c r="U43" s="156"/>
      <c r="V43" s="156"/>
      <c r="W43" s="156"/>
      <c r="X43" s="156"/>
      <c r="Y43" s="156"/>
      <c r="Z43" s="156"/>
      <c r="AA43" s="156"/>
      <c r="AB43" s="155"/>
      <c r="AC43" s="154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5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7"/>
    </row>
    <row r="44" spans="1:63" s="158" customFormat="1" ht="15" customHeight="1">
      <c r="A44" s="152"/>
      <c r="B44" s="153"/>
      <c r="C44" s="148">
        <f t="shared" si="0"/>
        <v>16</v>
      </c>
      <c r="D44" s="109"/>
      <c r="E44" s="194"/>
      <c r="F44" s="256" t="s">
        <v>173</v>
      </c>
      <c r="G44" s="195"/>
      <c r="H44" s="192"/>
      <c r="I44" s="192"/>
      <c r="J44" s="192"/>
      <c r="K44" s="192"/>
      <c r="L44" s="195"/>
      <c r="M44" s="297"/>
      <c r="N44" s="194" t="s">
        <v>94</v>
      </c>
      <c r="O44" s="192"/>
      <c r="P44" s="192"/>
      <c r="Q44" s="192"/>
      <c r="R44" s="163"/>
      <c r="S44" s="154"/>
      <c r="T44" s="156"/>
      <c r="U44" s="156"/>
      <c r="V44" s="156"/>
      <c r="W44" s="156"/>
      <c r="X44" s="156"/>
      <c r="Y44" s="156"/>
      <c r="Z44" s="156"/>
      <c r="AA44" s="156"/>
      <c r="AB44" s="155"/>
      <c r="AC44" s="154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5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7"/>
    </row>
    <row r="45" spans="1:63" ht="15" customHeight="1">
      <c r="A45" s="23"/>
      <c r="B45" s="24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146"/>
      <c r="O45" s="146"/>
      <c r="P45" s="146"/>
      <c r="Q45" s="146"/>
      <c r="R45" s="146"/>
      <c r="S45" s="51"/>
      <c r="T45" s="51"/>
      <c r="U45" s="51"/>
      <c r="V45" s="51"/>
      <c r="W45" s="51"/>
      <c r="X45" s="51"/>
      <c r="Y45" s="51"/>
      <c r="Z45" s="51"/>
      <c r="AA45" s="51"/>
      <c r="AB45" s="39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24"/>
      <c r="BK45" s="25"/>
    </row>
    <row r="46" spans="1:63" ht="15" customHeight="1">
      <c r="A46" s="23"/>
      <c r="B46" s="24"/>
      <c r="C46" s="100" t="s">
        <v>51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24"/>
      <c r="BK46" s="25"/>
    </row>
    <row r="47" spans="1:63" ht="15.75">
      <c r="A47" s="58"/>
      <c r="B47" s="5"/>
      <c r="C47" s="39"/>
      <c r="D47" s="110" t="s">
        <v>47</v>
      </c>
      <c r="E47" s="59"/>
      <c r="F47" s="59"/>
      <c r="G47" s="59"/>
      <c r="H47" s="134"/>
      <c r="I47" s="134"/>
      <c r="J47" s="134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78"/>
      <c r="AP47" s="59"/>
      <c r="AQ47" s="59"/>
      <c r="AR47" s="59"/>
      <c r="AS47" s="59"/>
      <c r="AT47" s="59"/>
      <c r="AU47" s="7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5"/>
      <c r="BK47" s="5"/>
    </row>
    <row r="48" spans="1:63" ht="15.75">
      <c r="A48" s="58"/>
      <c r="B48" s="5"/>
      <c r="C48" s="39"/>
      <c r="D48" s="111" t="s">
        <v>169</v>
      </c>
      <c r="E48" s="39"/>
      <c r="F48" s="39"/>
      <c r="G48" s="39"/>
      <c r="H48" s="135"/>
      <c r="I48" s="135"/>
      <c r="J48" s="13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51"/>
      <c r="AP48" s="39"/>
      <c r="AQ48" s="39"/>
      <c r="AR48" s="39"/>
      <c r="AS48" s="39"/>
      <c r="AT48" s="39"/>
      <c r="AU48" s="80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5"/>
      <c r="BK48" s="5"/>
    </row>
    <row r="49" spans="1:63" ht="15.75">
      <c r="A49" s="58"/>
      <c r="B49" s="5"/>
      <c r="C49" s="39"/>
      <c r="D49" s="111" t="s">
        <v>140</v>
      </c>
      <c r="E49" s="39"/>
      <c r="F49" s="39"/>
      <c r="G49" s="39"/>
      <c r="H49" s="135"/>
      <c r="I49" s="135"/>
      <c r="J49" s="135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51"/>
      <c r="AP49" s="39"/>
      <c r="AQ49" s="39"/>
      <c r="AR49" s="39"/>
      <c r="AS49" s="39"/>
      <c r="AT49" s="39"/>
      <c r="AU49" s="80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5"/>
      <c r="BK49" s="5"/>
    </row>
    <row r="50" spans="1:63" ht="15.75">
      <c r="A50" s="58"/>
      <c r="B50" s="5"/>
      <c r="C50" s="39"/>
      <c r="D50" s="111" t="s">
        <v>141</v>
      </c>
      <c r="E50" s="39"/>
      <c r="F50" s="39"/>
      <c r="G50" s="39"/>
      <c r="H50" s="135"/>
      <c r="I50" s="135"/>
      <c r="J50" s="135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51"/>
      <c r="AP50" s="39"/>
      <c r="AQ50" s="39"/>
      <c r="AR50" s="39"/>
      <c r="AS50" s="39"/>
      <c r="AT50" s="39"/>
      <c r="AU50" s="80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5"/>
      <c r="BK50" s="5"/>
    </row>
    <row r="51" spans="1:63" ht="15.75">
      <c r="A51" s="58"/>
      <c r="B51" s="5"/>
      <c r="C51" s="39"/>
      <c r="D51" s="111" t="s">
        <v>142</v>
      </c>
      <c r="E51" s="39"/>
      <c r="F51" s="39"/>
      <c r="G51" s="39"/>
      <c r="H51" s="135"/>
      <c r="I51" s="135"/>
      <c r="J51" s="135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51"/>
      <c r="AP51" s="39"/>
      <c r="AQ51" s="39"/>
      <c r="AR51" s="39"/>
      <c r="AS51" s="39"/>
      <c r="AT51" s="39"/>
      <c r="AU51" s="80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5"/>
      <c r="BK51" s="5"/>
    </row>
    <row r="52" spans="1:63" ht="15.75">
      <c r="A52" s="58"/>
      <c r="B52" s="5"/>
      <c r="C52" s="39"/>
      <c r="D52" s="111" t="s">
        <v>125</v>
      </c>
      <c r="E52" s="39"/>
      <c r="F52" s="39"/>
      <c r="G52" s="39"/>
      <c r="H52" s="135"/>
      <c r="I52" s="135"/>
      <c r="J52" s="135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51"/>
      <c r="AP52" s="39"/>
      <c r="AQ52" s="39"/>
      <c r="AR52" s="39"/>
      <c r="AS52" s="39"/>
      <c r="AT52" s="39"/>
      <c r="AU52" s="80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5"/>
      <c r="BK52" s="5"/>
    </row>
    <row r="53" spans="1:63" ht="15.75">
      <c r="A53" s="58"/>
      <c r="B53" s="5"/>
      <c r="C53" s="39"/>
      <c r="D53" s="111" t="s">
        <v>115</v>
      </c>
      <c r="E53" s="39"/>
      <c r="F53" s="39"/>
      <c r="G53" s="39"/>
      <c r="H53" s="135"/>
      <c r="I53" s="135"/>
      <c r="J53" s="135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51"/>
      <c r="AP53" s="39"/>
      <c r="AQ53" s="39"/>
      <c r="AR53" s="39"/>
      <c r="AS53" s="39"/>
      <c r="AT53" s="39"/>
      <c r="AU53" s="80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5"/>
      <c r="BK53" s="5"/>
    </row>
    <row r="54" spans="1:63" ht="15.75">
      <c r="A54" s="58"/>
      <c r="B54" s="5"/>
      <c r="C54" s="39"/>
      <c r="D54" s="111" t="s">
        <v>143</v>
      </c>
      <c r="E54" s="39"/>
      <c r="F54" s="39"/>
      <c r="G54" s="39"/>
      <c r="H54" s="135"/>
      <c r="I54" s="135"/>
      <c r="J54" s="135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51"/>
      <c r="AP54" s="39"/>
      <c r="AQ54" s="39"/>
      <c r="AR54" s="39"/>
      <c r="AS54" s="39"/>
      <c r="AT54" s="39"/>
      <c r="AU54" s="80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5"/>
      <c r="BK54" s="5"/>
    </row>
    <row r="55" spans="1:63" ht="15.75">
      <c r="A55" s="58"/>
      <c r="B55" s="5"/>
      <c r="C55" s="39"/>
      <c r="D55" s="111" t="s">
        <v>144</v>
      </c>
      <c r="E55" s="39"/>
      <c r="F55" s="39"/>
      <c r="G55" s="39"/>
      <c r="H55" s="135"/>
      <c r="I55" s="135"/>
      <c r="J55" s="135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51"/>
      <c r="AP55" s="39"/>
      <c r="AQ55" s="39"/>
      <c r="AR55" s="39"/>
      <c r="AS55" s="39"/>
      <c r="AT55" s="39"/>
      <c r="AU55" s="80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5"/>
      <c r="BK55" s="5"/>
    </row>
    <row r="56" spans="1:63" ht="15.75">
      <c r="A56" s="58"/>
      <c r="B56" s="5"/>
      <c r="C56" s="39"/>
      <c r="D56" s="111" t="s">
        <v>145</v>
      </c>
      <c r="E56" s="39"/>
      <c r="F56" s="39"/>
      <c r="G56" s="39"/>
      <c r="H56" s="135"/>
      <c r="I56" s="135"/>
      <c r="J56" s="135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51"/>
      <c r="AP56" s="39"/>
      <c r="AQ56" s="39"/>
      <c r="AR56" s="39"/>
      <c r="AS56" s="39"/>
      <c r="AT56" s="39"/>
      <c r="AU56" s="80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5"/>
      <c r="BK56" s="5"/>
    </row>
    <row r="57" spans="1:63" ht="15.75">
      <c r="A57" s="58"/>
      <c r="B57" s="5"/>
      <c r="C57" s="39"/>
      <c r="D57" s="111" t="s">
        <v>146</v>
      </c>
      <c r="E57" s="39"/>
      <c r="F57" s="39"/>
      <c r="G57" s="39"/>
      <c r="H57" s="135"/>
      <c r="I57" s="135"/>
      <c r="J57" s="135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51"/>
      <c r="AP57" s="39"/>
      <c r="AQ57" s="39"/>
      <c r="AR57" s="39"/>
      <c r="AS57" s="39"/>
      <c r="AT57" s="39"/>
      <c r="AU57" s="80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5"/>
      <c r="BK57" s="5"/>
    </row>
    <row r="58" spans="1:63" ht="15.75">
      <c r="A58" s="58"/>
      <c r="B58" s="5"/>
      <c r="C58" s="39"/>
      <c r="D58" s="111" t="s">
        <v>151</v>
      </c>
      <c r="E58" s="39"/>
      <c r="F58" s="39"/>
      <c r="G58" s="39"/>
      <c r="H58" s="135"/>
      <c r="I58" s="135"/>
      <c r="J58" s="135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51"/>
      <c r="AP58" s="39"/>
      <c r="AQ58" s="39"/>
      <c r="AR58" s="39"/>
      <c r="AS58" s="39"/>
      <c r="AT58" s="39"/>
      <c r="AU58" s="80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5"/>
      <c r="BK58" s="5"/>
    </row>
    <row r="59" spans="1:63" ht="15.75">
      <c r="A59" s="58"/>
      <c r="B59" s="5"/>
      <c r="C59" s="39"/>
      <c r="D59" s="111" t="s">
        <v>48</v>
      </c>
      <c r="E59" s="39"/>
      <c r="F59" s="39"/>
      <c r="G59" s="39"/>
      <c r="H59" s="135"/>
      <c r="I59" s="135"/>
      <c r="J59" s="135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51"/>
      <c r="AP59" s="39"/>
      <c r="AQ59" s="39"/>
      <c r="AR59" s="39"/>
      <c r="AS59" s="39"/>
      <c r="AT59" s="39"/>
      <c r="AU59" s="80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5"/>
      <c r="BK59" s="5"/>
    </row>
    <row r="60" spans="1:63" ht="15.75">
      <c r="A60" s="58"/>
      <c r="B60" s="5"/>
      <c r="C60" s="39"/>
      <c r="D60" s="111" t="s">
        <v>152</v>
      </c>
      <c r="E60" s="39"/>
      <c r="F60" s="39"/>
      <c r="G60" s="39"/>
      <c r="H60" s="135"/>
      <c r="I60" s="135"/>
      <c r="J60" s="135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51"/>
      <c r="AP60" s="39"/>
      <c r="AQ60" s="39"/>
      <c r="AR60" s="39"/>
      <c r="AS60" s="39"/>
      <c r="AT60" s="39"/>
      <c r="AU60" s="80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5"/>
      <c r="BK60" s="5"/>
    </row>
    <row r="61" spans="1:63" ht="15.75">
      <c r="A61" s="58"/>
      <c r="B61" s="5"/>
      <c r="C61" s="39"/>
      <c r="D61" s="111" t="s">
        <v>182</v>
      </c>
      <c r="E61" s="39"/>
      <c r="F61" s="39"/>
      <c r="G61" s="39"/>
      <c r="H61" s="135"/>
      <c r="I61" s="135"/>
      <c r="J61" s="135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51"/>
      <c r="AP61" s="39"/>
      <c r="AQ61" s="39"/>
      <c r="AR61" s="39"/>
      <c r="AS61" s="39"/>
      <c r="AT61" s="39"/>
      <c r="AU61" s="80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5"/>
      <c r="BK61" s="5"/>
    </row>
    <row r="62" spans="1:63" ht="15.75">
      <c r="A62" s="58"/>
      <c r="B62" s="5"/>
      <c r="C62" s="39"/>
      <c r="D62" s="301" t="s">
        <v>178</v>
      </c>
      <c r="E62" s="5"/>
      <c r="F62" s="5"/>
      <c r="G62" s="39"/>
      <c r="H62" s="135"/>
      <c r="I62" s="135"/>
      <c r="J62" s="135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51"/>
      <c r="AP62" s="39"/>
      <c r="AQ62" s="39"/>
      <c r="AR62" s="39"/>
      <c r="AS62" s="39"/>
      <c r="AT62" s="39"/>
      <c r="AU62" s="80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5"/>
      <c r="BK62" s="5"/>
    </row>
    <row r="63" spans="1:63" ht="15.75">
      <c r="A63" s="58"/>
      <c r="B63" s="5"/>
      <c r="C63" s="39"/>
      <c r="D63" s="301" t="s">
        <v>179</v>
      </c>
      <c r="E63" s="5"/>
      <c r="F63" s="5"/>
      <c r="G63" s="39"/>
      <c r="H63" s="135"/>
      <c r="I63" s="135"/>
      <c r="J63" s="135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51"/>
      <c r="AP63" s="39"/>
      <c r="AQ63" s="39"/>
      <c r="AR63" s="39"/>
      <c r="AS63" s="39"/>
      <c r="AT63" s="39"/>
      <c r="AU63" s="80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5"/>
      <c r="BK63" s="5"/>
    </row>
    <row r="64" spans="1:63" ht="15.75">
      <c r="A64" s="58"/>
      <c r="B64" s="5"/>
      <c r="C64" s="39"/>
      <c r="D64" s="301" t="s">
        <v>184</v>
      </c>
      <c r="E64" s="5"/>
      <c r="F64" s="5"/>
      <c r="G64" s="39"/>
      <c r="H64" s="135"/>
      <c r="I64" s="135"/>
      <c r="J64" s="135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51"/>
      <c r="AP64" s="39"/>
      <c r="AQ64" s="39"/>
      <c r="AR64" s="39"/>
      <c r="AS64" s="39"/>
      <c r="AT64" s="39"/>
      <c r="AU64" s="80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5"/>
      <c r="BK64" s="5"/>
    </row>
    <row r="65" spans="1:63" ht="15.75">
      <c r="A65" s="58"/>
      <c r="B65" s="5"/>
      <c r="C65" s="39"/>
      <c r="D65" s="111" t="s">
        <v>49</v>
      </c>
      <c r="E65" s="39"/>
      <c r="F65" s="39"/>
      <c r="G65" s="39"/>
      <c r="H65" s="135"/>
      <c r="I65" s="135"/>
      <c r="J65" s="135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51"/>
      <c r="AP65" s="39"/>
      <c r="AQ65" s="39"/>
      <c r="AR65" s="39"/>
      <c r="AS65" s="39"/>
      <c r="AT65" s="39"/>
      <c r="AU65" s="80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5"/>
      <c r="BK65" s="5"/>
    </row>
    <row r="66" spans="1:63" ht="15.75">
      <c r="A66" s="58"/>
      <c r="B66" s="5"/>
      <c r="C66" s="39"/>
      <c r="D66" s="111" t="s">
        <v>48</v>
      </c>
      <c r="E66" s="39"/>
      <c r="F66" s="39"/>
      <c r="G66" s="39"/>
      <c r="H66" s="135"/>
      <c r="I66" s="135"/>
      <c r="J66" s="135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51"/>
      <c r="AP66" s="39"/>
      <c r="AQ66" s="39"/>
      <c r="AR66" s="39"/>
      <c r="AS66" s="39"/>
      <c r="AT66" s="39"/>
      <c r="AU66" s="80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5"/>
      <c r="BK66" s="5"/>
    </row>
    <row r="67" spans="1:63" ht="15.75">
      <c r="A67" s="58"/>
      <c r="B67" s="5"/>
      <c r="C67" s="39"/>
      <c r="D67" s="111" t="s">
        <v>153</v>
      </c>
      <c r="E67" s="39"/>
      <c r="F67" s="39"/>
      <c r="G67" s="39"/>
      <c r="H67" s="135"/>
      <c r="I67" s="135"/>
      <c r="J67" s="135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51"/>
      <c r="AP67" s="39"/>
      <c r="AQ67" s="39"/>
      <c r="AR67" s="39"/>
      <c r="AS67" s="39"/>
      <c r="AT67" s="39"/>
      <c r="AU67" s="80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5"/>
      <c r="BK67" s="5"/>
    </row>
    <row r="68" spans="1:63" ht="15.75">
      <c r="A68" s="58"/>
      <c r="B68" s="5"/>
      <c r="C68" s="39"/>
      <c r="D68" s="111" t="s">
        <v>183</v>
      </c>
      <c r="E68" s="39"/>
      <c r="F68" s="39"/>
      <c r="G68" s="39"/>
      <c r="H68" s="135"/>
      <c r="I68" s="135"/>
      <c r="J68" s="135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51"/>
      <c r="AP68" s="39"/>
      <c r="AQ68" s="39"/>
      <c r="AR68" s="39"/>
      <c r="AS68" s="39"/>
      <c r="AT68" s="39"/>
      <c r="AU68" s="80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5"/>
      <c r="BK68" s="5"/>
    </row>
    <row r="69" spans="1:63" ht="15.75">
      <c r="A69" s="58"/>
      <c r="B69" s="5"/>
      <c r="C69" s="39"/>
      <c r="D69" s="301" t="s">
        <v>180</v>
      </c>
      <c r="E69" s="39"/>
      <c r="F69" s="39"/>
      <c r="G69" s="39"/>
      <c r="H69" s="135"/>
      <c r="I69" s="135"/>
      <c r="J69" s="135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51"/>
      <c r="AP69" s="39"/>
      <c r="AQ69" s="39"/>
      <c r="AR69" s="39"/>
      <c r="AS69" s="39"/>
      <c r="AT69" s="39"/>
      <c r="AU69" s="80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5"/>
      <c r="BK69" s="5"/>
    </row>
    <row r="70" spans="1:63" ht="15.75">
      <c r="A70" s="58"/>
      <c r="B70" s="5"/>
      <c r="C70" s="39"/>
      <c r="D70" s="301" t="s">
        <v>181</v>
      </c>
      <c r="E70" s="39"/>
      <c r="F70" s="39"/>
      <c r="G70" s="39"/>
      <c r="H70" s="135"/>
      <c r="I70" s="135"/>
      <c r="J70" s="135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51"/>
      <c r="AP70" s="39"/>
      <c r="AQ70" s="39"/>
      <c r="AR70" s="39"/>
      <c r="AS70" s="39"/>
      <c r="AT70" s="39"/>
      <c r="AU70" s="80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5"/>
      <c r="BK70" s="5"/>
    </row>
    <row r="71" spans="1:63" ht="15.75">
      <c r="A71" s="58"/>
      <c r="B71" s="5"/>
      <c r="C71" s="39"/>
      <c r="D71" s="301" t="s">
        <v>185</v>
      </c>
      <c r="E71" s="39"/>
      <c r="F71" s="39"/>
      <c r="G71" s="39"/>
      <c r="H71" s="135"/>
      <c r="I71" s="135"/>
      <c r="J71" s="135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51"/>
      <c r="AP71" s="39"/>
      <c r="AQ71" s="39"/>
      <c r="AR71" s="39"/>
      <c r="AS71" s="39"/>
      <c r="AT71" s="39"/>
      <c r="AU71" s="80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5"/>
      <c r="BK71" s="5"/>
    </row>
    <row r="72" spans="1:63" s="131" customFormat="1" ht="15.75">
      <c r="A72" s="136"/>
      <c r="B72" s="132"/>
      <c r="C72" s="132"/>
      <c r="D72" s="111" t="s">
        <v>116</v>
      </c>
      <c r="E72" s="39"/>
      <c r="F72" s="132"/>
      <c r="G72" s="132"/>
      <c r="H72" s="123"/>
      <c r="I72" s="123"/>
      <c r="J72" s="123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19"/>
      <c r="AP72" s="132"/>
      <c r="AQ72" s="132"/>
      <c r="AR72" s="132"/>
      <c r="AS72" s="132"/>
      <c r="AT72" s="132"/>
      <c r="AU72" s="133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</row>
    <row r="73" spans="1:63" ht="15.75">
      <c r="A73" s="58"/>
      <c r="B73" s="5"/>
      <c r="C73" s="39"/>
      <c r="D73" s="111" t="s">
        <v>202</v>
      </c>
      <c r="E73" s="39"/>
      <c r="F73" s="39"/>
      <c r="G73" s="39"/>
      <c r="H73" s="135"/>
      <c r="I73" s="135"/>
      <c r="J73" s="135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51"/>
      <c r="AP73" s="39"/>
      <c r="AQ73" s="39"/>
      <c r="AR73" s="39"/>
      <c r="AS73" s="39"/>
      <c r="AT73" s="39"/>
      <c r="AU73" s="80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5"/>
      <c r="BK73" s="5"/>
    </row>
    <row r="74" spans="1:63" ht="15.75">
      <c r="A74" s="58"/>
      <c r="B74" s="5"/>
      <c r="C74" s="39"/>
      <c r="D74" s="111" t="s">
        <v>50</v>
      </c>
      <c r="E74" s="39"/>
      <c r="F74" s="39"/>
      <c r="G74" s="39"/>
      <c r="H74" s="135"/>
      <c r="I74" s="135"/>
      <c r="J74" s="135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51"/>
      <c r="AP74" s="39"/>
      <c r="AQ74" s="39"/>
      <c r="AR74" s="39"/>
      <c r="AS74" s="39"/>
      <c r="AT74" s="39"/>
      <c r="AU74" s="80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5"/>
      <c r="BK74" s="5"/>
    </row>
    <row r="75" spans="1:63" ht="15.75">
      <c r="A75" s="58"/>
      <c r="B75" s="5"/>
      <c r="C75" s="39"/>
      <c r="D75" s="112" t="s">
        <v>45</v>
      </c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81"/>
      <c r="AP75" s="60"/>
      <c r="AQ75" s="60"/>
      <c r="AR75" s="60"/>
      <c r="AS75" s="60"/>
      <c r="AT75" s="60"/>
      <c r="AU75" s="82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5"/>
      <c r="BK75" s="5"/>
    </row>
    <row r="76" spans="1:63" ht="15.75">
      <c r="A76" s="58"/>
      <c r="B76" s="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51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5"/>
      <c r="BK76" s="5"/>
    </row>
    <row r="77" spans="1:63" s="7" customFormat="1" ht="12">
      <c r="A77" s="61"/>
      <c r="B77" s="62"/>
      <c r="C77" s="62"/>
      <c r="D77" s="62"/>
      <c r="E77" s="63"/>
      <c r="F77" s="63"/>
      <c r="G77" s="63"/>
      <c r="H77" s="63"/>
      <c r="I77" s="63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</row>
    <row r="78" spans="1:63" s="7" customFormat="1" ht="19.5" customHeight="1"/>
    <row r="79" spans="1:63" ht="19.5" customHeight="1">
      <c r="C79" s="51" t="s">
        <v>95</v>
      </c>
    </row>
    <row r="80" spans="1:63" ht="19.5" customHeight="1">
      <c r="C80" s="102" t="s">
        <v>52</v>
      </c>
      <c r="D80" s="103"/>
      <c r="E80" s="102" t="s">
        <v>33</v>
      </c>
      <c r="F80" s="104"/>
      <c r="G80" s="104"/>
      <c r="H80" s="104"/>
      <c r="I80" s="105"/>
      <c r="J80" s="105"/>
      <c r="K80" s="104"/>
      <c r="L80" s="113"/>
      <c r="M80" s="113"/>
      <c r="N80" s="102" t="s">
        <v>53</v>
      </c>
      <c r="O80" s="104"/>
      <c r="P80" s="105"/>
      <c r="Q80" s="105"/>
      <c r="R80" s="103"/>
      <c r="S80" s="102" t="s">
        <v>54</v>
      </c>
      <c r="T80" s="104"/>
      <c r="U80" s="104"/>
      <c r="V80" s="104"/>
      <c r="W80" s="105"/>
      <c r="X80" s="105"/>
      <c r="Y80" s="104"/>
      <c r="Z80" s="104"/>
      <c r="AA80" s="104"/>
      <c r="AB80" s="106"/>
      <c r="AC80" s="102" t="s">
        <v>55</v>
      </c>
      <c r="AD80" s="104"/>
      <c r="AE80" s="104"/>
      <c r="AF80" s="104"/>
      <c r="AG80" s="104"/>
      <c r="AH80" s="104"/>
      <c r="AI80" s="104"/>
      <c r="AJ80" s="104"/>
      <c r="AK80" s="104"/>
      <c r="AL80" s="104"/>
      <c r="AM80" s="107"/>
      <c r="AN80" s="107"/>
      <c r="AO80" s="107"/>
      <c r="AP80" s="107"/>
      <c r="AQ80" s="107"/>
      <c r="AR80" s="107"/>
      <c r="AS80" s="107"/>
      <c r="AT80" s="107"/>
      <c r="AU80" s="108"/>
    </row>
    <row r="81" spans="3:49" ht="19.5" customHeight="1">
      <c r="C81" s="148">
        <v>1</v>
      </c>
      <c r="D81" s="109"/>
      <c r="E81" s="141" t="s">
        <v>168</v>
      </c>
      <c r="F81" s="47"/>
      <c r="G81" s="47"/>
      <c r="H81" s="47"/>
      <c r="I81" s="137"/>
      <c r="J81" s="137"/>
      <c r="K81" s="126"/>
      <c r="L81" s="127"/>
      <c r="M81" s="127"/>
      <c r="N81" s="148" t="s">
        <v>37</v>
      </c>
      <c r="O81" s="128"/>
      <c r="P81" s="128"/>
      <c r="Q81" s="128"/>
      <c r="R81" s="129"/>
      <c r="S81" s="124"/>
      <c r="T81" s="126"/>
      <c r="U81" s="126"/>
      <c r="V81" s="126"/>
      <c r="W81" s="126"/>
      <c r="X81" s="126"/>
      <c r="Y81" s="126"/>
      <c r="Z81" s="126"/>
      <c r="AA81" s="126"/>
      <c r="AB81" s="129"/>
      <c r="AC81" s="148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5"/>
    </row>
    <row r="82" spans="3:49" ht="19.5" customHeight="1">
      <c r="C82" s="148">
        <v>2</v>
      </c>
      <c r="D82" s="109"/>
      <c r="E82" s="302" t="s">
        <v>176</v>
      </c>
      <c r="F82" s="279"/>
      <c r="G82" s="293"/>
      <c r="H82" s="137"/>
      <c r="I82" s="137"/>
      <c r="J82" s="137"/>
      <c r="K82" s="126"/>
      <c r="L82" s="127"/>
      <c r="M82" s="127"/>
      <c r="N82" s="148" t="s">
        <v>201</v>
      </c>
      <c r="O82" s="128"/>
      <c r="P82" s="128"/>
      <c r="Q82" s="128"/>
      <c r="R82" s="129"/>
      <c r="S82" s="124"/>
      <c r="T82" s="126"/>
      <c r="U82" s="126"/>
      <c r="V82" s="126"/>
      <c r="W82" s="126"/>
      <c r="X82" s="126"/>
      <c r="Y82" s="126"/>
      <c r="Z82" s="126"/>
      <c r="AA82" s="126"/>
      <c r="AB82" s="129"/>
      <c r="AC82" s="148" t="s">
        <v>97</v>
      </c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5"/>
      <c r="AW82" s="92"/>
    </row>
    <row r="83" spans="3:49" ht="19.5" customHeight="1">
      <c r="C83" s="100" t="s">
        <v>51</v>
      </c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</row>
    <row r="84" spans="3:49" ht="19.5" customHeight="1">
      <c r="C84" s="39"/>
      <c r="D84" s="110" t="s">
        <v>47</v>
      </c>
      <c r="E84" s="59"/>
      <c r="F84" s="59"/>
      <c r="G84" s="59"/>
      <c r="H84" s="134"/>
      <c r="I84" s="134"/>
      <c r="J84" s="134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78"/>
      <c r="AP84" s="59"/>
      <c r="AQ84" s="59"/>
      <c r="AR84" s="59"/>
      <c r="AS84" s="59"/>
      <c r="AT84" s="59"/>
      <c r="AU84" s="79"/>
      <c r="AV84" s="39"/>
    </row>
    <row r="85" spans="3:49" ht="19.5" customHeight="1">
      <c r="C85" s="39"/>
      <c r="D85" s="111" t="s">
        <v>170</v>
      </c>
      <c r="E85" s="39"/>
      <c r="F85" s="39"/>
      <c r="G85" s="39"/>
      <c r="H85" s="135"/>
      <c r="I85" s="135"/>
      <c r="J85" s="135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51"/>
      <c r="AP85" s="39"/>
      <c r="AQ85" s="39"/>
      <c r="AR85" s="39"/>
      <c r="AS85" s="39"/>
      <c r="AT85" s="39"/>
      <c r="AU85" s="80"/>
      <c r="AV85" s="39"/>
    </row>
    <row r="86" spans="3:49" ht="19.5" customHeight="1">
      <c r="C86" s="39"/>
      <c r="D86" s="111" t="s">
        <v>198</v>
      </c>
      <c r="E86" s="39"/>
      <c r="F86" s="39"/>
      <c r="G86" s="39"/>
      <c r="H86" s="135"/>
      <c r="I86" s="135"/>
      <c r="J86" s="135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51"/>
      <c r="AP86" s="39"/>
      <c r="AQ86" s="39"/>
      <c r="AR86" s="39"/>
      <c r="AS86" s="39"/>
      <c r="AT86" s="39"/>
      <c r="AU86" s="80"/>
      <c r="AV86" s="39"/>
    </row>
    <row r="87" spans="3:49" ht="19.5" customHeight="1">
      <c r="C87" s="39"/>
      <c r="D87" s="111"/>
      <c r="E87" s="39" t="s">
        <v>204</v>
      </c>
      <c r="F87" s="39"/>
      <c r="G87" s="39"/>
      <c r="H87" s="135"/>
      <c r="I87" s="135"/>
      <c r="J87" s="135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51"/>
      <c r="AP87" s="39"/>
      <c r="AQ87" s="39"/>
      <c r="AR87" s="39"/>
      <c r="AS87" s="39"/>
      <c r="AT87" s="39"/>
      <c r="AU87" s="80"/>
      <c r="AV87" s="39"/>
    </row>
    <row r="88" spans="3:49" ht="19.5" customHeight="1">
      <c r="C88" s="39"/>
      <c r="D88" s="111"/>
      <c r="E88" s="39" t="s">
        <v>199</v>
      </c>
      <c r="F88" s="39"/>
      <c r="G88" s="39"/>
      <c r="H88" s="135"/>
      <c r="I88" s="135"/>
      <c r="J88" s="135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51"/>
      <c r="AP88" s="39"/>
      <c r="AQ88" s="39"/>
      <c r="AR88" s="39"/>
      <c r="AS88" s="39"/>
      <c r="AT88" s="39"/>
      <c r="AU88" s="80"/>
      <c r="AV88" s="39"/>
    </row>
    <row r="89" spans="3:49" ht="19.5" customHeight="1">
      <c r="C89" s="39"/>
      <c r="D89" s="111"/>
      <c r="E89" s="39" t="s">
        <v>200</v>
      </c>
      <c r="F89" s="39"/>
      <c r="G89" s="39"/>
      <c r="H89" s="135"/>
      <c r="I89" s="135"/>
      <c r="J89" s="135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51"/>
      <c r="AP89" s="39"/>
      <c r="AQ89" s="39"/>
      <c r="AR89" s="39"/>
      <c r="AS89" s="39"/>
      <c r="AT89" s="39"/>
      <c r="AU89" s="80"/>
      <c r="AV89" s="39"/>
    </row>
    <row r="90" spans="3:49" ht="19.5" customHeight="1">
      <c r="C90" s="39"/>
      <c r="D90" s="111" t="s">
        <v>50</v>
      </c>
      <c r="E90" s="39"/>
      <c r="F90" s="39"/>
      <c r="G90" s="39"/>
      <c r="H90" s="135"/>
      <c r="I90" s="135"/>
      <c r="J90" s="135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51"/>
      <c r="AP90" s="39"/>
      <c r="AQ90" s="39"/>
      <c r="AR90" s="39"/>
      <c r="AS90" s="39"/>
      <c r="AT90" s="39"/>
      <c r="AU90" s="80"/>
      <c r="AV90" s="39"/>
    </row>
    <row r="91" spans="3:49" ht="19.5" customHeight="1">
      <c r="C91" s="39"/>
      <c r="D91" s="112" t="s">
        <v>45</v>
      </c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81"/>
      <c r="AP91" s="60"/>
      <c r="AQ91" s="60"/>
      <c r="AR91" s="60"/>
      <c r="AS91" s="60"/>
      <c r="AT91" s="60"/>
      <c r="AU91" s="82"/>
      <c r="AV91" s="39"/>
    </row>
  </sheetData>
  <mergeCells count="21"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  <mergeCell ref="W1:AO3"/>
    <mergeCell ref="AQ18:BI19"/>
    <mergeCell ref="BH1:BK1"/>
    <mergeCell ref="BC1:BG1"/>
    <mergeCell ref="AY1:BB1"/>
    <mergeCell ref="AT1:AX1"/>
    <mergeCell ref="AP1:AS1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K46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20"/>
      <c r="K1" s="318" t="s">
        <v>26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30" t="str">
        <f>IF(Bìa!W1="","",Bìa!W1)</f>
        <v>TKCB</v>
      </c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2"/>
      <c r="AP1" s="318" t="s">
        <v>18</v>
      </c>
      <c r="AQ1" s="319"/>
      <c r="AR1" s="319"/>
      <c r="AS1" s="320"/>
      <c r="AT1" s="318" t="s">
        <v>19</v>
      </c>
      <c r="AU1" s="319"/>
      <c r="AV1" s="319"/>
      <c r="AW1" s="319"/>
      <c r="AX1" s="320"/>
      <c r="AY1" s="318" t="s">
        <v>20</v>
      </c>
      <c r="AZ1" s="319"/>
      <c r="BA1" s="319"/>
      <c r="BB1" s="320"/>
      <c r="BC1" s="318" t="s">
        <v>21</v>
      </c>
      <c r="BD1" s="319"/>
      <c r="BE1" s="319"/>
      <c r="BF1" s="319"/>
      <c r="BG1" s="320"/>
      <c r="BH1" s="318" t="s">
        <v>2</v>
      </c>
      <c r="BI1" s="319"/>
      <c r="BJ1" s="319"/>
      <c r="BK1" s="320"/>
    </row>
    <row r="2" spans="1:63" ht="15" customHeight="1">
      <c r="A2" s="309" t="str">
        <f>IF(Bìa!A2="","",Bìa!A2)</f>
        <v>Manager User</v>
      </c>
      <c r="B2" s="310"/>
      <c r="C2" s="310"/>
      <c r="D2" s="310"/>
      <c r="E2" s="310"/>
      <c r="F2" s="310"/>
      <c r="G2" s="310"/>
      <c r="H2" s="310"/>
      <c r="I2" s="310"/>
      <c r="J2" s="311"/>
      <c r="K2" s="309" t="str">
        <f>IF(Bìa!K2="","",Bìa!K2)</f>
        <v>Thiết kế API</v>
      </c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1"/>
      <c r="W2" s="333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09" t="str">
        <f>IF(Bìa!AP2="","",Bìa!AP2)</f>
        <v>ThanhPD</v>
      </c>
      <c r="AQ2" s="310"/>
      <c r="AR2" s="310"/>
      <c r="AS2" s="311"/>
      <c r="AT2" s="321">
        <f>IF(Bìa!AT2="","",Bìa!AT2)</f>
        <v>44930</v>
      </c>
      <c r="AU2" s="322"/>
      <c r="AV2" s="322"/>
      <c r="AW2" s="322"/>
      <c r="AX2" s="323"/>
      <c r="AY2" s="309" t="str">
        <f>IF(Bìa!AY2="","",Bìa!AY2)</f>
        <v>ThanhPD</v>
      </c>
      <c r="AZ2" s="310"/>
      <c r="BA2" s="310"/>
      <c r="BB2" s="311"/>
      <c r="BC2" s="321">
        <f>IF(Bìa!BC2="","",Bìa!BC2)</f>
        <v>44930</v>
      </c>
      <c r="BD2" s="322"/>
      <c r="BE2" s="322"/>
      <c r="BF2" s="322"/>
      <c r="BG2" s="323"/>
      <c r="BH2" s="309">
        <f>IF(Bìa!BH2="","",Bìa!BH2)</f>
        <v>0.1</v>
      </c>
      <c r="BI2" s="310"/>
      <c r="BJ2" s="310"/>
      <c r="BK2" s="311"/>
    </row>
    <row r="3" spans="1:63" ht="15" customHeight="1">
      <c r="A3" s="315"/>
      <c r="B3" s="316"/>
      <c r="C3" s="316"/>
      <c r="D3" s="316"/>
      <c r="E3" s="316"/>
      <c r="F3" s="316"/>
      <c r="G3" s="316"/>
      <c r="H3" s="316"/>
      <c r="I3" s="316"/>
      <c r="J3" s="317"/>
      <c r="K3" s="315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7"/>
      <c r="W3" s="336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8"/>
      <c r="AP3" s="315"/>
      <c r="AQ3" s="316"/>
      <c r="AR3" s="316"/>
      <c r="AS3" s="317"/>
      <c r="AT3" s="324"/>
      <c r="AU3" s="325"/>
      <c r="AV3" s="325"/>
      <c r="AW3" s="325"/>
      <c r="AX3" s="326"/>
      <c r="AY3" s="315"/>
      <c r="AZ3" s="316"/>
      <c r="BA3" s="316"/>
      <c r="BB3" s="317"/>
      <c r="BC3" s="324"/>
      <c r="BD3" s="325"/>
      <c r="BE3" s="325"/>
      <c r="BF3" s="325"/>
      <c r="BG3" s="326"/>
      <c r="BH3" s="315"/>
      <c r="BI3" s="316"/>
      <c r="BJ3" s="316"/>
      <c r="BK3" s="317"/>
    </row>
    <row r="4" spans="1:63" ht="24.95" customHeight="1">
      <c r="A4" s="318" t="s">
        <v>17</v>
      </c>
      <c r="B4" s="319"/>
      <c r="C4" s="319"/>
      <c r="D4" s="319"/>
      <c r="E4" s="319"/>
      <c r="F4" s="319"/>
      <c r="G4" s="320"/>
      <c r="H4" s="339" t="str">
        <f>IF(Bìa!H4="","",Bìa!H4)</f>
        <v/>
      </c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1"/>
      <c r="U4" s="318" t="s">
        <v>22</v>
      </c>
      <c r="V4" s="319"/>
      <c r="W4" s="319"/>
      <c r="X4" s="319"/>
      <c r="Y4" s="320"/>
      <c r="Z4" s="339" t="str">
        <f>IF(Bìa!Z4="","",Bìa!Z4)</f>
        <v>Get employee</v>
      </c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1"/>
      <c r="AP4" s="339" t="s">
        <v>16</v>
      </c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0"/>
      <c r="BC4" s="340"/>
      <c r="BD4" s="340"/>
      <c r="BE4" s="340"/>
      <c r="BF4" s="340"/>
      <c r="BG4" s="340"/>
      <c r="BH4" s="340"/>
      <c r="BI4" s="340"/>
      <c r="BJ4" s="340"/>
      <c r="BK4" s="34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s="2" customFormat="1" ht="15" customHeight="1">
      <c r="A6" s="74"/>
      <c r="B6" s="34"/>
      <c r="C6" s="34"/>
      <c r="D6" s="34"/>
      <c r="E6" s="67"/>
      <c r="F6" s="67"/>
      <c r="G6" s="67"/>
      <c r="H6" s="67"/>
      <c r="I6" s="67"/>
      <c r="J6" s="6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75"/>
      <c r="W6" s="75"/>
      <c r="X6" s="75"/>
      <c r="Y6" s="75"/>
      <c r="Z6" s="68"/>
      <c r="AA6" s="68"/>
      <c r="AB6" s="68"/>
      <c r="AC6" s="68"/>
      <c r="AD6" s="75"/>
      <c r="AE6" s="75"/>
      <c r="AF6" s="75"/>
      <c r="AG6" s="75"/>
      <c r="AH6" s="69"/>
      <c r="AI6" s="69"/>
      <c r="AJ6" s="69"/>
      <c r="AK6" s="69"/>
      <c r="AL6" s="76"/>
      <c r="AM6" s="76"/>
      <c r="AN6" s="70"/>
      <c r="AO6" s="70"/>
      <c r="AP6" s="70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1:63" ht="15" customHeight="1">
      <c r="A7" s="73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2"/>
    </row>
    <row r="8" spans="1:63" ht="15" customHeight="1">
      <c r="A8" s="73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2"/>
    </row>
    <row r="9" spans="1:63" ht="15" customHeight="1">
      <c r="A9" s="73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1:63" ht="15" customHeight="1">
      <c r="A10" s="73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/>
    </row>
    <row r="11" spans="1:63" ht="15" customHeight="1">
      <c r="A11" s="73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2"/>
    </row>
    <row r="12" spans="1:63" ht="15" customHeight="1">
      <c r="A12" s="73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2"/>
    </row>
    <row r="13" spans="1:63" ht="15" customHeight="1">
      <c r="A13" s="73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2"/>
    </row>
    <row r="14" spans="1:63" ht="15" customHeight="1">
      <c r="A14" s="73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2"/>
    </row>
    <row r="15" spans="1:63" ht="15" customHeight="1">
      <c r="A15" s="73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2"/>
    </row>
    <row r="16" spans="1:63" ht="15" customHeight="1">
      <c r="A16" s="73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2"/>
    </row>
    <row r="17" spans="1:63" ht="15" customHeight="1">
      <c r="A17" s="73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2"/>
    </row>
    <row r="18" spans="1:63" ht="15" customHeight="1">
      <c r="A18" s="73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2"/>
    </row>
    <row r="19" spans="1:63" ht="15" customHeight="1">
      <c r="A19" s="73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2"/>
    </row>
    <row r="20" spans="1:63" ht="15" customHeight="1">
      <c r="A20" s="73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2"/>
    </row>
    <row r="21" spans="1:63" ht="15" customHeight="1">
      <c r="A21" s="73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2"/>
    </row>
    <row r="22" spans="1:63" ht="15" customHeight="1">
      <c r="A22" s="73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2"/>
    </row>
    <row r="23" spans="1:63" ht="15" customHeight="1">
      <c r="A23" s="7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2"/>
    </row>
    <row r="24" spans="1:63" ht="15" customHeight="1">
      <c r="A24" s="7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2"/>
    </row>
    <row r="25" spans="1:63" ht="15" customHeight="1">
      <c r="A25" s="7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2"/>
    </row>
    <row r="26" spans="1:63" ht="15" customHeight="1">
      <c r="A26" s="7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2"/>
    </row>
    <row r="27" spans="1:63" ht="15" customHeight="1">
      <c r="A27" s="73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2"/>
    </row>
    <row r="28" spans="1:63" ht="15" customHeight="1">
      <c r="A28" s="73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139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2"/>
    </row>
    <row r="29" spans="1:63" ht="15" customHeight="1">
      <c r="A29" s="73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2"/>
    </row>
    <row r="30" spans="1:63" ht="15" customHeight="1">
      <c r="A30" s="73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2"/>
    </row>
    <row r="31" spans="1:63" ht="15" customHeight="1">
      <c r="A31" s="73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2"/>
    </row>
    <row r="32" spans="1:63" ht="15" customHeight="1">
      <c r="A32" s="73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2"/>
    </row>
    <row r="33" spans="1:63" ht="15" customHeight="1">
      <c r="A33" s="73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2"/>
    </row>
    <row r="34" spans="1:63" ht="15" customHeight="1">
      <c r="A34" s="73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2"/>
    </row>
    <row r="35" spans="1:63" ht="15" customHeight="1">
      <c r="A35" s="73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2"/>
    </row>
    <row r="36" spans="1:63" ht="15" customHeight="1">
      <c r="A36" s="73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2"/>
    </row>
    <row r="37" spans="1:63" ht="15" customHeight="1">
      <c r="A37" s="73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2"/>
    </row>
    <row r="38" spans="1:63" ht="15" customHeight="1">
      <c r="A38" s="73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2"/>
    </row>
    <row r="39" spans="1:63" ht="15" customHeight="1">
      <c r="A39" s="73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2"/>
    </row>
    <row r="40" spans="1:63" ht="15" customHeight="1">
      <c r="A40" s="73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2"/>
    </row>
    <row r="41" spans="1:63" ht="15" customHeight="1">
      <c r="A41" s="73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2"/>
    </row>
    <row r="42" spans="1:63" ht="15" customHeight="1">
      <c r="A42" s="73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2"/>
    </row>
    <row r="43" spans="1:63" ht="15" customHeight="1">
      <c r="A43" s="73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2"/>
    </row>
    <row r="44" spans="1:63" ht="15" customHeight="1">
      <c r="A44" s="73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2"/>
    </row>
    <row r="45" spans="1:63" ht="15" customHeight="1">
      <c r="A45" s="73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2"/>
    </row>
    <row r="46" spans="1:63" ht="18" customHeight="1">
      <c r="A46" s="147"/>
      <c r="BK46" s="138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L104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318" t="s">
        <v>101</v>
      </c>
      <c r="B1" s="319"/>
      <c r="C1" s="319"/>
      <c r="D1" s="319"/>
      <c r="E1" s="319"/>
      <c r="F1" s="319"/>
      <c r="G1" s="319"/>
      <c r="H1" s="319"/>
      <c r="I1" s="319"/>
      <c r="J1" s="320"/>
      <c r="K1" s="318" t="s">
        <v>102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555" t="str">
        <f>IF(Bìa!W1="","",Bìa!W1)</f>
        <v>TKCB</v>
      </c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6"/>
      <c r="AJ1" s="556"/>
      <c r="AK1" s="556"/>
      <c r="AL1" s="556"/>
      <c r="AM1" s="556"/>
      <c r="AN1" s="556"/>
      <c r="AO1" s="557"/>
      <c r="AP1" s="318" t="s">
        <v>103</v>
      </c>
      <c r="AQ1" s="319"/>
      <c r="AR1" s="319"/>
      <c r="AS1" s="320"/>
      <c r="AT1" s="318" t="s">
        <v>104</v>
      </c>
      <c r="AU1" s="319"/>
      <c r="AV1" s="319"/>
      <c r="AW1" s="319"/>
      <c r="AX1" s="320"/>
      <c r="AY1" s="318" t="s">
        <v>105</v>
      </c>
      <c r="AZ1" s="319"/>
      <c r="BA1" s="319"/>
      <c r="BB1" s="320"/>
      <c r="BC1" s="318" t="s">
        <v>106</v>
      </c>
      <c r="BD1" s="319"/>
      <c r="BE1" s="319"/>
      <c r="BF1" s="319"/>
      <c r="BG1" s="320"/>
      <c r="BH1" s="318" t="s">
        <v>44</v>
      </c>
      <c r="BI1" s="319"/>
      <c r="BJ1" s="319"/>
      <c r="BK1" s="320"/>
    </row>
    <row r="2" spans="1:63" ht="15" customHeight="1">
      <c r="A2" s="549" t="str">
        <f>IF(Bìa!A2="","",Bìa!A2)</f>
        <v>Manager User</v>
      </c>
      <c r="B2" s="550"/>
      <c r="C2" s="550"/>
      <c r="D2" s="550"/>
      <c r="E2" s="550"/>
      <c r="F2" s="550"/>
      <c r="G2" s="550"/>
      <c r="H2" s="550"/>
      <c r="I2" s="550"/>
      <c r="J2" s="551"/>
      <c r="K2" s="549" t="str">
        <f>IF(Bìa!K2="","",Bìa!K2)</f>
        <v>Thiết kế API</v>
      </c>
      <c r="L2" s="550"/>
      <c r="M2" s="550"/>
      <c r="N2" s="550"/>
      <c r="O2" s="550"/>
      <c r="P2" s="550"/>
      <c r="Q2" s="550"/>
      <c r="R2" s="550"/>
      <c r="S2" s="550"/>
      <c r="T2" s="550"/>
      <c r="U2" s="550"/>
      <c r="V2" s="551"/>
      <c r="W2" s="558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  <c r="AM2" s="559"/>
      <c r="AN2" s="559"/>
      <c r="AO2" s="560"/>
      <c r="AP2" s="549" t="str">
        <f>IF(Bìa!AP2="","",Bìa!AP2)</f>
        <v>ThanhPD</v>
      </c>
      <c r="AQ2" s="550"/>
      <c r="AR2" s="550"/>
      <c r="AS2" s="551"/>
      <c r="AT2" s="567">
        <f>IF(Bìa!AT2="","",Bìa!AT2)</f>
        <v>44930</v>
      </c>
      <c r="AU2" s="568"/>
      <c r="AV2" s="568"/>
      <c r="AW2" s="568"/>
      <c r="AX2" s="569"/>
      <c r="AY2" s="549" t="str">
        <f>IF(Bìa!AY2="","",Bìa!AY2)</f>
        <v>ThanhPD</v>
      </c>
      <c r="AZ2" s="550"/>
      <c r="BA2" s="550"/>
      <c r="BB2" s="551"/>
      <c r="BC2" s="567">
        <f>IF(Bìa!BC2="","",Bìa!BC2)</f>
        <v>44930</v>
      </c>
      <c r="BD2" s="568"/>
      <c r="BE2" s="568"/>
      <c r="BF2" s="568"/>
      <c r="BG2" s="569"/>
      <c r="BH2" s="549">
        <f>IF(Bìa!BH2="","",Bìa!BH2)</f>
        <v>0.1</v>
      </c>
      <c r="BI2" s="550"/>
      <c r="BJ2" s="550"/>
      <c r="BK2" s="551"/>
    </row>
    <row r="3" spans="1:63" ht="15" customHeight="1">
      <c r="A3" s="552"/>
      <c r="B3" s="553"/>
      <c r="C3" s="553"/>
      <c r="D3" s="553"/>
      <c r="E3" s="553"/>
      <c r="F3" s="553"/>
      <c r="G3" s="553"/>
      <c r="H3" s="553"/>
      <c r="I3" s="553"/>
      <c r="J3" s="554"/>
      <c r="K3" s="552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4"/>
      <c r="W3" s="561"/>
      <c r="X3" s="562"/>
      <c r="Y3" s="562"/>
      <c r="Z3" s="562"/>
      <c r="AA3" s="562"/>
      <c r="AB3" s="562"/>
      <c r="AC3" s="562"/>
      <c r="AD3" s="562"/>
      <c r="AE3" s="562"/>
      <c r="AF3" s="562"/>
      <c r="AG3" s="562"/>
      <c r="AH3" s="562"/>
      <c r="AI3" s="562"/>
      <c r="AJ3" s="562"/>
      <c r="AK3" s="562"/>
      <c r="AL3" s="562"/>
      <c r="AM3" s="562"/>
      <c r="AN3" s="562"/>
      <c r="AO3" s="563"/>
      <c r="AP3" s="552"/>
      <c r="AQ3" s="553"/>
      <c r="AR3" s="553"/>
      <c r="AS3" s="554"/>
      <c r="AT3" s="570"/>
      <c r="AU3" s="571"/>
      <c r="AV3" s="571"/>
      <c r="AW3" s="571"/>
      <c r="AX3" s="572"/>
      <c r="AY3" s="552"/>
      <c r="AZ3" s="553"/>
      <c r="BA3" s="553"/>
      <c r="BB3" s="554"/>
      <c r="BC3" s="570"/>
      <c r="BD3" s="571"/>
      <c r="BE3" s="571"/>
      <c r="BF3" s="571"/>
      <c r="BG3" s="572"/>
      <c r="BH3" s="552"/>
      <c r="BI3" s="553"/>
      <c r="BJ3" s="553"/>
      <c r="BK3" s="554"/>
    </row>
    <row r="4" spans="1:63" ht="24.95" customHeight="1">
      <c r="A4" s="318" t="s">
        <v>107</v>
      </c>
      <c r="B4" s="319"/>
      <c r="C4" s="319"/>
      <c r="D4" s="319"/>
      <c r="E4" s="319"/>
      <c r="F4" s="319"/>
      <c r="G4" s="320"/>
      <c r="H4" s="564" t="str">
        <f>IF(Bìa!H4="","",Bìa!H4)</f>
        <v/>
      </c>
      <c r="I4" s="565"/>
      <c r="J4" s="565"/>
      <c r="K4" s="565"/>
      <c r="L4" s="565"/>
      <c r="M4" s="565"/>
      <c r="N4" s="565"/>
      <c r="O4" s="565"/>
      <c r="P4" s="565"/>
      <c r="Q4" s="565"/>
      <c r="R4" s="565"/>
      <c r="S4" s="565"/>
      <c r="T4" s="566"/>
      <c r="U4" s="318" t="s">
        <v>108</v>
      </c>
      <c r="V4" s="319"/>
      <c r="W4" s="319"/>
      <c r="X4" s="319"/>
      <c r="Y4" s="320"/>
      <c r="Z4" s="564" t="str">
        <f>IF(Bìa!Z4="","",Bìa!Z4)</f>
        <v>Get employee</v>
      </c>
      <c r="AA4" s="565"/>
      <c r="AB4" s="565"/>
      <c r="AC4" s="565"/>
      <c r="AD4" s="565"/>
      <c r="AE4" s="565"/>
      <c r="AF4" s="565"/>
      <c r="AG4" s="565"/>
      <c r="AH4" s="565"/>
      <c r="AI4" s="565"/>
      <c r="AJ4" s="565"/>
      <c r="AK4" s="565"/>
      <c r="AL4" s="565"/>
      <c r="AM4" s="565"/>
      <c r="AN4" s="565"/>
      <c r="AO4" s="566"/>
      <c r="AP4" s="564" t="s">
        <v>109</v>
      </c>
      <c r="AQ4" s="565"/>
      <c r="AR4" s="565"/>
      <c r="AS4" s="565"/>
      <c r="AT4" s="565"/>
      <c r="AU4" s="565"/>
      <c r="AV4" s="565"/>
      <c r="AW4" s="565"/>
      <c r="AX4" s="565"/>
      <c r="AY4" s="565"/>
      <c r="AZ4" s="565"/>
      <c r="BA4" s="565"/>
      <c r="BB4" s="565"/>
      <c r="BC4" s="565"/>
      <c r="BD4" s="565"/>
      <c r="BE4" s="565"/>
      <c r="BF4" s="565"/>
      <c r="BG4" s="565"/>
      <c r="BH4" s="565"/>
      <c r="BI4" s="565"/>
      <c r="BJ4" s="565"/>
      <c r="BK4" s="566"/>
    </row>
    <row r="5" spans="1:63" ht="5.0999999999999996" customHeight="1">
      <c r="A5" s="196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8"/>
    </row>
    <row r="6" spans="1:63" ht="15" customHeight="1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78" t="s">
        <v>62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78"/>
      <c r="C8" s="24" t="s">
        <v>56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78" t="s">
        <v>63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s="122" customFormat="1" ht="15" customHeight="1">
      <c r="A10" s="199"/>
      <c r="B10" s="120"/>
      <c r="C10" s="200" t="s">
        <v>57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1"/>
    </row>
    <row r="11" spans="1:63" s="122" customFormat="1" ht="15" customHeight="1">
      <c r="A11" s="199"/>
      <c r="B11" s="120"/>
      <c r="C11" s="200"/>
      <c r="D11" s="120"/>
      <c r="E11" s="120" t="s">
        <v>161</v>
      </c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1"/>
    </row>
    <row r="12" spans="1:63" s="122" customFormat="1" ht="15" customHeight="1">
      <c r="A12" s="199"/>
      <c r="B12" s="120"/>
      <c r="C12" s="200"/>
      <c r="D12" s="120"/>
      <c r="E12" s="120"/>
      <c r="F12" s="120" t="s">
        <v>195</v>
      </c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1"/>
    </row>
    <row r="13" spans="1:63" s="122" customFormat="1" ht="15" customHeight="1">
      <c r="A13" s="199"/>
      <c r="B13" s="120"/>
      <c r="C13" s="200"/>
      <c r="D13" s="120"/>
      <c r="E13" s="120"/>
      <c r="F13" s="120" t="s">
        <v>196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1"/>
    </row>
    <row r="14" spans="1:63" s="122" customFormat="1" ht="15" customHeight="1">
      <c r="A14" s="199"/>
      <c r="B14" s="120"/>
      <c r="C14" s="200"/>
      <c r="D14" s="120"/>
      <c r="E14" s="120" t="s">
        <v>197</v>
      </c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285"/>
      <c r="BF14" s="120"/>
      <c r="BG14" s="120"/>
      <c r="BH14" s="120"/>
      <c r="BI14" s="120"/>
      <c r="BJ14" s="120"/>
      <c r="BK14" s="121"/>
    </row>
    <row r="15" spans="1:63" s="122" customFormat="1" ht="15" customHeight="1">
      <c r="A15" s="199"/>
      <c r="B15" s="120"/>
      <c r="C15" s="20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285"/>
      <c r="BF15" s="120"/>
      <c r="BG15" s="120"/>
      <c r="BH15" s="120"/>
      <c r="BI15" s="120"/>
      <c r="BJ15" s="120"/>
      <c r="BK15" s="121"/>
    </row>
    <row r="16" spans="1:63" ht="15" customHeight="1">
      <c r="A16" s="23"/>
      <c r="B16" s="178"/>
      <c r="C16" s="179" t="s">
        <v>154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4" ht="15" customHeight="1">
      <c r="A17" s="23"/>
      <c r="B17" s="24"/>
      <c r="C17" s="24"/>
      <c r="D17" s="24" t="s">
        <v>123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147"/>
    </row>
    <row r="18" spans="1:64" ht="15" customHeight="1">
      <c r="A18" s="23"/>
      <c r="B18" s="24"/>
      <c r="C18" s="24"/>
      <c r="D18" s="201" t="s">
        <v>70</v>
      </c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4" ht="15" customHeight="1">
      <c r="A19" s="23"/>
      <c r="B19" s="24"/>
      <c r="C19" s="24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4" ht="15" customHeight="1">
      <c r="A20" s="23"/>
      <c r="B20" s="24"/>
      <c r="C20" s="24"/>
      <c r="D20" s="201"/>
      <c r="E20" s="201"/>
      <c r="F20" s="202" t="s">
        <v>71</v>
      </c>
      <c r="G20" s="203"/>
      <c r="H20" s="202" t="s">
        <v>72</v>
      </c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3"/>
      <c r="X20" s="202" t="s">
        <v>73</v>
      </c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5"/>
      <c r="AN20" s="206" t="s">
        <v>74</v>
      </c>
      <c r="AO20" s="204"/>
      <c r="AP20" s="203"/>
      <c r="AQ20" s="202" t="s">
        <v>75</v>
      </c>
      <c r="AR20" s="204"/>
      <c r="AS20" s="203"/>
      <c r="AT20" s="202" t="s">
        <v>76</v>
      </c>
      <c r="AU20" s="204"/>
      <c r="AV20" s="203"/>
      <c r="AW20" s="202" t="s">
        <v>77</v>
      </c>
      <c r="AX20" s="203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4" ht="15" customHeight="1">
      <c r="A21" s="23"/>
      <c r="B21" s="24"/>
      <c r="C21" s="24"/>
      <c r="D21" s="201"/>
      <c r="E21" s="201"/>
      <c r="F21" s="207">
        <v>1</v>
      </c>
      <c r="G21" s="208"/>
      <c r="H21" s="545" t="s">
        <v>155</v>
      </c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7"/>
      <c r="X21" s="545" t="s">
        <v>162</v>
      </c>
      <c r="Y21" s="546"/>
      <c r="Z21" s="546"/>
      <c r="AA21" s="546"/>
      <c r="AB21" s="546"/>
      <c r="AC21" s="546"/>
      <c r="AD21" s="546"/>
      <c r="AE21" s="546"/>
      <c r="AF21" s="546"/>
      <c r="AG21" s="546"/>
      <c r="AH21" s="546"/>
      <c r="AI21" s="546"/>
      <c r="AJ21" s="546"/>
      <c r="AK21" s="546"/>
      <c r="AL21" s="546"/>
      <c r="AM21" s="548"/>
      <c r="AN21" s="209"/>
      <c r="AO21" s="210"/>
      <c r="AP21" s="208"/>
      <c r="AQ21" s="211"/>
      <c r="AR21" s="210" t="s">
        <v>78</v>
      </c>
      <c r="AS21" s="208"/>
      <c r="AT21" s="211"/>
      <c r="AU21" s="210"/>
      <c r="AV21" s="208"/>
      <c r="AW21" s="211"/>
      <c r="AX21" s="208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4" ht="15" customHeight="1">
      <c r="A22" s="23"/>
      <c r="B22" s="24"/>
      <c r="C22" s="24"/>
      <c r="D22" s="201"/>
      <c r="E22" s="201"/>
      <c r="F22" s="207">
        <v>2</v>
      </c>
      <c r="G22" s="208"/>
      <c r="H22" s="545" t="s">
        <v>85</v>
      </c>
      <c r="I22" s="546"/>
      <c r="J22" s="546"/>
      <c r="K22" s="546"/>
      <c r="L22" s="546"/>
      <c r="M22" s="546"/>
      <c r="N22" s="546"/>
      <c r="O22" s="546"/>
      <c r="P22" s="546"/>
      <c r="Q22" s="546"/>
      <c r="R22" s="546"/>
      <c r="S22" s="546"/>
      <c r="T22" s="546"/>
      <c r="U22" s="546"/>
      <c r="V22" s="546"/>
      <c r="W22" s="547"/>
      <c r="X22" s="545" t="s">
        <v>61</v>
      </c>
      <c r="Y22" s="546"/>
      <c r="Z22" s="546"/>
      <c r="AA22" s="546"/>
      <c r="AB22" s="546"/>
      <c r="AC22" s="546"/>
      <c r="AD22" s="546"/>
      <c r="AE22" s="546"/>
      <c r="AF22" s="546"/>
      <c r="AG22" s="546"/>
      <c r="AH22" s="546"/>
      <c r="AI22" s="546"/>
      <c r="AJ22" s="546"/>
      <c r="AK22" s="546"/>
      <c r="AL22" s="546"/>
      <c r="AM22" s="548"/>
      <c r="AN22" s="209"/>
      <c r="AO22" s="210"/>
      <c r="AP22" s="208"/>
      <c r="AQ22" s="211"/>
      <c r="AR22" s="210" t="s">
        <v>78</v>
      </c>
      <c r="AS22" s="208"/>
      <c r="AT22" s="211"/>
      <c r="AU22" s="210"/>
      <c r="AV22" s="208"/>
      <c r="AW22" s="211"/>
      <c r="AX22" s="208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4" ht="15" customHeight="1">
      <c r="A23" s="23"/>
      <c r="B23" s="24"/>
      <c r="C23" s="24"/>
      <c r="D23" s="201"/>
      <c r="E23" s="201"/>
      <c r="F23" s="212"/>
      <c r="G23" s="213"/>
      <c r="H23" s="21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21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213"/>
      <c r="AO23" s="215"/>
      <c r="AP23" s="213"/>
      <c r="AQ23" s="213"/>
      <c r="AR23" s="215"/>
      <c r="AS23" s="213"/>
      <c r="AT23" s="213"/>
      <c r="AU23" s="215"/>
      <c r="AV23" s="213"/>
      <c r="AW23" s="213"/>
      <c r="AX23" s="213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4" ht="15" customHeight="1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4" ht="15" customHeight="1">
      <c r="A25" s="23"/>
      <c r="B25" s="24"/>
      <c r="C25" s="24"/>
      <c r="D25" s="122" t="s">
        <v>79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4" ht="15" customHeight="1">
      <c r="A26" s="23"/>
      <c r="B26" s="24"/>
      <c r="C26" s="24"/>
      <c r="D26" s="24"/>
      <c r="E26" s="216" t="s">
        <v>86</v>
      </c>
      <c r="F26" s="216" t="s">
        <v>110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4" ht="15" customHeight="1">
      <c r="A27" s="23"/>
      <c r="B27" s="24"/>
      <c r="C27" s="24"/>
      <c r="D27" s="201"/>
      <c r="E27" s="201"/>
      <c r="F27" s="217" t="s">
        <v>90</v>
      </c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201"/>
      <c r="AX27" s="201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5"/>
    </row>
    <row r="28" spans="1:64" ht="15" customHeight="1">
      <c r="A28" s="23"/>
      <c r="B28" s="24"/>
      <c r="C28" s="24"/>
      <c r="D28" s="24"/>
      <c r="E28" s="24"/>
      <c r="F28" s="218" t="s">
        <v>71</v>
      </c>
      <c r="G28" s="219"/>
      <c r="H28" s="220" t="s">
        <v>80</v>
      </c>
      <c r="I28" s="219"/>
      <c r="J28" s="219"/>
      <c r="K28" s="219"/>
      <c r="L28" s="219"/>
      <c r="M28" s="219"/>
      <c r="N28" s="219"/>
      <c r="O28" s="219"/>
      <c r="P28" s="221"/>
      <c r="Q28" s="222"/>
      <c r="R28" s="223" t="s">
        <v>81</v>
      </c>
      <c r="S28" s="224"/>
      <c r="T28" s="224"/>
      <c r="U28" s="224"/>
      <c r="V28" s="224"/>
      <c r="W28" s="225"/>
      <c r="X28" s="220" t="s">
        <v>82</v>
      </c>
      <c r="Y28" s="219"/>
      <c r="Z28" s="219"/>
      <c r="AA28" s="219"/>
      <c r="AB28" s="219"/>
      <c r="AC28" s="219"/>
      <c r="AD28" s="219"/>
      <c r="AE28" s="219"/>
      <c r="AF28" s="221"/>
      <c r="AG28" s="219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7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5"/>
    </row>
    <row r="29" spans="1:64" ht="15" customHeight="1">
      <c r="A29" s="23"/>
      <c r="B29" s="24"/>
      <c r="C29" s="24"/>
      <c r="D29" s="24"/>
      <c r="E29" s="24"/>
      <c r="F29" s="543">
        <v>1</v>
      </c>
      <c r="G29" s="544"/>
      <c r="H29" s="141" t="s">
        <v>162</v>
      </c>
      <c r="I29" s="140"/>
      <c r="J29" s="140"/>
      <c r="K29" s="140"/>
      <c r="L29" s="140"/>
      <c r="M29" s="140"/>
      <c r="N29" s="140"/>
      <c r="O29" s="140"/>
      <c r="P29" s="228"/>
      <c r="Q29" s="229"/>
      <c r="R29" s="230" t="s">
        <v>58</v>
      </c>
      <c r="S29" s="137"/>
      <c r="T29" s="137"/>
      <c r="U29" s="137"/>
      <c r="V29" s="137"/>
      <c r="W29" s="231"/>
      <c r="X29" s="193" t="s">
        <v>163</v>
      </c>
      <c r="Y29" s="193"/>
      <c r="Z29" s="140"/>
      <c r="AA29" s="140"/>
      <c r="AB29" s="140"/>
      <c r="AC29" s="140"/>
      <c r="AD29" s="140"/>
      <c r="AE29" s="140"/>
      <c r="AF29" s="228"/>
      <c r="AG29" s="228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3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5"/>
    </row>
    <row r="30" spans="1:64" ht="15" customHeight="1">
      <c r="A30" s="23"/>
      <c r="B30" s="24"/>
      <c r="C30" s="24"/>
      <c r="D30" s="24"/>
      <c r="E30" s="24"/>
      <c r="F30" s="543">
        <v>2</v>
      </c>
      <c r="G30" s="544"/>
      <c r="H30" s="141" t="s">
        <v>162</v>
      </c>
      <c r="I30" s="140"/>
      <c r="J30" s="140"/>
      <c r="K30" s="140"/>
      <c r="L30" s="140"/>
      <c r="M30" s="140"/>
      <c r="N30" s="140"/>
      <c r="O30" s="140"/>
      <c r="P30" s="228"/>
      <c r="Q30" s="229"/>
      <c r="R30" s="230" t="s">
        <v>58</v>
      </c>
      <c r="S30" s="137"/>
      <c r="T30" s="137"/>
      <c r="U30" s="137"/>
      <c r="V30" s="137"/>
      <c r="W30" s="231"/>
      <c r="X30" s="193" t="s">
        <v>186</v>
      </c>
      <c r="Y30" s="193"/>
      <c r="Z30" s="140"/>
      <c r="AA30" s="140"/>
      <c r="AB30" s="140"/>
      <c r="AC30" s="140"/>
      <c r="AD30" s="140"/>
      <c r="AE30" s="140"/>
      <c r="AF30" s="228"/>
      <c r="AG30" s="228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3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5"/>
    </row>
    <row r="31" spans="1:64" ht="15" customHeight="1">
      <c r="A31" s="23"/>
      <c r="B31" s="24"/>
      <c r="C31" s="24"/>
      <c r="D31" s="24"/>
      <c r="E31" s="24"/>
      <c r="F31" s="543">
        <v>3</v>
      </c>
      <c r="G31" s="544"/>
      <c r="H31" s="141" t="s">
        <v>162</v>
      </c>
      <c r="I31" s="140"/>
      <c r="J31" s="140"/>
      <c r="K31" s="140"/>
      <c r="L31" s="140"/>
      <c r="M31" s="140"/>
      <c r="N31" s="140"/>
      <c r="O31" s="140"/>
      <c r="P31" s="228"/>
      <c r="Q31" s="229"/>
      <c r="R31" s="230" t="s">
        <v>58</v>
      </c>
      <c r="S31" s="137"/>
      <c r="T31" s="137"/>
      <c r="U31" s="137"/>
      <c r="V31" s="137"/>
      <c r="W31" s="231"/>
      <c r="X31" s="290" t="s">
        <v>187</v>
      </c>
      <c r="Y31" s="290"/>
      <c r="Z31" s="291"/>
      <c r="AA31" s="291"/>
      <c r="AB31" s="291"/>
      <c r="AC31" s="291"/>
      <c r="AD31" s="291"/>
      <c r="AE31" s="291"/>
      <c r="AF31" s="228"/>
      <c r="AG31" s="228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3"/>
      <c r="AX31" s="289"/>
      <c r="AY31" s="90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5"/>
    </row>
    <row r="32" spans="1:64" ht="15" customHeight="1">
      <c r="A32" s="23"/>
      <c r="B32" s="24"/>
      <c r="C32" s="24"/>
      <c r="D32" s="24"/>
      <c r="E32" s="24"/>
      <c r="F32" s="543">
        <v>4</v>
      </c>
      <c r="G32" s="544"/>
      <c r="H32" s="141" t="s">
        <v>162</v>
      </c>
      <c r="I32" s="140"/>
      <c r="J32" s="140"/>
      <c r="K32" s="140"/>
      <c r="L32" s="140"/>
      <c r="M32" s="140"/>
      <c r="N32" s="140"/>
      <c r="O32" s="140"/>
      <c r="P32" s="228"/>
      <c r="Q32" s="229"/>
      <c r="R32" s="230" t="s">
        <v>58</v>
      </c>
      <c r="S32" s="137"/>
      <c r="T32" s="137"/>
      <c r="U32" s="137"/>
      <c r="V32" s="137"/>
      <c r="W32" s="231"/>
      <c r="X32" s="193" t="s">
        <v>188</v>
      </c>
      <c r="Y32" s="193"/>
      <c r="Z32" s="140"/>
      <c r="AA32" s="140"/>
      <c r="AB32" s="140"/>
      <c r="AC32" s="140"/>
      <c r="AD32" s="140"/>
      <c r="AE32" s="140"/>
      <c r="AF32" s="228"/>
      <c r="AG32" s="228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3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5"/>
    </row>
    <row r="33" spans="1:63" ht="15" customHeight="1">
      <c r="A33" s="23"/>
      <c r="B33" s="24"/>
      <c r="C33" s="24"/>
      <c r="D33" s="24"/>
      <c r="E33" s="24"/>
      <c r="F33" s="543">
        <v>5</v>
      </c>
      <c r="G33" s="544"/>
      <c r="H33" s="141" t="s">
        <v>162</v>
      </c>
      <c r="I33" s="140"/>
      <c r="J33" s="140"/>
      <c r="K33" s="140"/>
      <c r="L33" s="140"/>
      <c r="M33" s="140"/>
      <c r="N33" s="140"/>
      <c r="O33" s="140"/>
      <c r="P33" s="228"/>
      <c r="Q33" s="229"/>
      <c r="R33" s="230" t="s">
        <v>58</v>
      </c>
      <c r="S33" s="137"/>
      <c r="T33" s="137"/>
      <c r="U33" s="137"/>
      <c r="V33" s="137"/>
      <c r="W33" s="231"/>
      <c r="X33" s="151" t="s">
        <v>189</v>
      </c>
      <c r="Y33" s="151"/>
      <c r="Z33" s="140"/>
      <c r="AA33" s="140"/>
      <c r="AB33" s="140"/>
      <c r="AC33" s="140"/>
      <c r="AD33" s="140"/>
      <c r="AE33" s="140"/>
      <c r="AF33" s="228"/>
      <c r="AG33" s="228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3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5"/>
    </row>
    <row r="34" spans="1:63" ht="15" customHeight="1">
      <c r="A34" s="23"/>
      <c r="B34" s="24"/>
      <c r="C34" s="24"/>
      <c r="D34" s="24"/>
      <c r="E34" s="24"/>
      <c r="F34" s="543">
        <v>6</v>
      </c>
      <c r="G34" s="544"/>
      <c r="H34" s="141" t="s">
        <v>162</v>
      </c>
      <c r="I34" s="140"/>
      <c r="J34" s="140"/>
      <c r="K34" s="140"/>
      <c r="L34" s="140"/>
      <c r="M34" s="140"/>
      <c r="N34" s="140"/>
      <c r="O34" s="140"/>
      <c r="P34" s="228"/>
      <c r="Q34" s="229"/>
      <c r="R34" s="230" t="s">
        <v>58</v>
      </c>
      <c r="S34" s="137"/>
      <c r="T34" s="137"/>
      <c r="U34" s="137"/>
      <c r="V34" s="137"/>
      <c r="W34" s="231"/>
      <c r="X34" s="151" t="s">
        <v>190</v>
      </c>
      <c r="Y34" s="151"/>
      <c r="Z34" s="140"/>
      <c r="AA34" s="140"/>
      <c r="AB34" s="140"/>
      <c r="AC34" s="140"/>
      <c r="AD34" s="140"/>
      <c r="AE34" s="140"/>
      <c r="AF34" s="228"/>
      <c r="AG34" s="228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3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5"/>
    </row>
    <row r="35" spans="1:63" ht="15" customHeight="1">
      <c r="A35" s="23"/>
      <c r="B35" s="24"/>
      <c r="C35" s="24"/>
      <c r="D35" s="24"/>
      <c r="E35" s="24"/>
      <c r="F35" s="543">
        <v>7</v>
      </c>
      <c r="G35" s="544"/>
      <c r="H35" s="141" t="s">
        <v>162</v>
      </c>
      <c r="I35" s="140"/>
      <c r="J35" s="140"/>
      <c r="K35" s="140"/>
      <c r="L35" s="140"/>
      <c r="M35" s="140"/>
      <c r="N35" s="140"/>
      <c r="O35" s="140"/>
      <c r="P35" s="228"/>
      <c r="Q35" s="229"/>
      <c r="R35" s="230" t="s">
        <v>58</v>
      </c>
      <c r="S35" s="137"/>
      <c r="T35" s="137"/>
      <c r="U35" s="137"/>
      <c r="V35" s="137"/>
      <c r="W35" s="231"/>
      <c r="X35" s="151" t="s">
        <v>191</v>
      </c>
      <c r="Y35" s="151"/>
      <c r="Z35" s="140"/>
      <c r="AA35" s="140"/>
      <c r="AB35" s="140"/>
      <c r="AC35" s="140"/>
      <c r="AD35" s="140"/>
      <c r="AE35" s="140"/>
      <c r="AF35" s="228"/>
      <c r="AG35" s="228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3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5"/>
    </row>
    <row r="36" spans="1:63" ht="15" customHeight="1">
      <c r="A36" s="23"/>
      <c r="B36" s="24"/>
      <c r="C36" s="24"/>
      <c r="D36" s="24"/>
      <c r="E36" s="24"/>
      <c r="F36" s="543">
        <v>8</v>
      </c>
      <c r="G36" s="544"/>
      <c r="H36" s="141" t="s">
        <v>61</v>
      </c>
      <c r="I36" s="140"/>
      <c r="J36" s="140"/>
      <c r="K36" s="140"/>
      <c r="L36" s="140"/>
      <c r="M36" s="140"/>
      <c r="N36" s="140"/>
      <c r="O36" s="140"/>
      <c r="P36" s="228"/>
      <c r="Q36" s="229"/>
      <c r="R36" s="230" t="s">
        <v>58</v>
      </c>
      <c r="S36" s="137"/>
      <c r="T36" s="137"/>
      <c r="U36" s="137"/>
      <c r="V36" s="137"/>
      <c r="W36" s="231"/>
      <c r="X36" s="141" t="s">
        <v>64</v>
      </c>
      <c r="Y36" s="140"/>
      <c r="Z36" s="140"/>
      <c r="AA36" s="140"/>
      <c r="AB36" s="140"/>
      <c r="AC36" s="140"/>
      <c r="AD36" s="140"/>
      <c r="AE36" s="140"/>
      <c r="AF36" s="228"/>
      <c r="AG36" s="228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3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5"/>
    </row>
    <row r="37" spans="1:63" ht="15" customHeight="1">
      <c r="A37" s="23"/>
      <c r="B37" s="24"/>
      <c r="C37" s="24"/>
      <c r="D37" s="24"/>
      <c r="E37" s="24"/>
      <c r="F37" s="543">
        <v>8</v>
      </c>
      <c r="G37" s="544"/>
      <c r="H37" s="141" t="s">
        <v>61</v>
      </c>
      <c r="I37" s="140"/>
      <c r="J37" s="140"/>
      <c r="K37" s="140"/>
      <c r="L37" s="140"/>
      <c r="M37" s="140"/>
      <c r="N37" s="140"/>
      <c r="O37" s="140"/>
      <c r="P37" s="228"/>
      <c r="Q37" s="229"/>
      <c r="R37" s="230" t="s">
        <v>58</v>
      </c>
      <c r="S37" s="137"/>
      <c r="T37" s="137"/>
      <c r="U37" s="137"/>
      <c r="V37" s="137"/>
      <c r="W37" s="231"/>
      <c r="X37" s="141" t="s">
        <v>83</v>
      </c>
      <c r="Y37" s="140"/>
      <c r="Z37" s="140"/>
      <c r="AA37" s="140"/>
      <c r="AB37" s="140"/>
      <c r="AC37" s="140"/>
      <c r="AD37" s="140"/>
      <c r="AE37" s="140"/>
      <c r="AF37" s="228"/>
      <c r="AG37" s="228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3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5"/>
    </row>
    <row r="38" spans="1:63" ht="15" customHeight="1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5"/>
    </row>
    <row r="39" spans="1:63" ht="15" customHeight="1">
      <c r="A39" s="23"/>
      <c r="B39" s="24"/>
      <c r="C39" s="24"/>
      <c r="D39" s="24"/>
      <c r="E39" s="216" t="s">
        <v>87</v>
      </c>
      <c r="F39" s="216" t="s">
        <v>88</v>
      </c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1"/>
      <c r="BD39" s="201"/>
      <c r="BE39" s="201"/>
      <c r="BF39" s="24"/>
      <c r="BG39" s="24"/>
      <c r="BH39" s="24"/>
      <c r="BI39" s="24"/>
      <c r="BJ39" s="24"/>
      <c r="BK39" s="25"/>
    </row>
    <row r="40" spans="1:63" ht="15" customHeight="1">
      <c r="A40" s="23"/>
      <c r="B40" s="24"/>
      <c r="C40" s="24"/>
      <c r="D40" s="24"/>
      <c r="E40" s="216"/>
      <c r="F40" s="232" t="s">
        <v>98</v>
      </c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  <c r="AZ40" s="201"/>
      <c r="BA40" s="201"/>
      <c r="BB40" s="201"/>
      <c r="BC40" s="201"/>
      <c r="BD40" s="201"/>
      <c r="BE40" s="201"/>
      <c r="BF40" s="24"/>
      <c r="BG40" s="24"/>
      <c r="BH40" s="24"/>
      <c r="BI40" s="24"/>
      <c r="BJ40" s="24"/>
      <c r="BK40" s="25"/>
    </row>
    <row r="41" spans="1:63" ht="15" customHeight="1">
      <c r="A41" s="23"/>
      <c r="B41" s="24"/>
      <c r="C41" s="24"/>
      <c r="D41" s="24"/>
      <c r="E41" s="201"/>
      <c r="F41" s="218" t="s">
        <v>71</v>
      </c>
      <c r="G41" s="222"/>
      <c r="H41" s="233" t="s">
        <v>80</v>
      </c>
      <c r="I41" s="234"/>
      <c r="J41" s="234"/>
      <c r="K41" s="234"/>
      <c r="L41" s="234"/>
      <c r="M41" s="234"/>
      <c r="N41" s="234"/>
      <c r="O41" s="234"/>
      <c r="P41" s="234"/>
      <c r="Q41" s="235"/>
      <c r="R41" s="220" t="s">
        <v>82</v>
      </c>
      <c r="S41" s="234"/>
      <c r="T41" s="234"/>
      <c r="U41" s="234"/>
      <c r="V41" s="234"/>
      <c r="W41" s="234"/>
      <c r="X41" s="234"/>
      <c r="Y41" s="235"/>
      <c r="Z41" s="220" t="s">
        <v>82</v>
      </c>
      <c r="AA41" s="236"/>
      <c r="AB41" s="236"/>
      <c r="AC41" s="236"/>
      <c r="AD41" s="236"/>
      <c r="AE41" s="236"/>
      <c r="AF41" s="237"/>
      <c r="AG41" s="238" t="s">
        <v>89</v>
      </c>
      <c r="AH41" s="236"/>
      <c r="AI41" s="236"/>
      <c r="AJ41" s="236"/>
      <c r="AK41" s="236"/>
      <c r="AL41" s="236"/>
      <c r="AM41" s="236"/>
      <c r="AN41" s="236"/>
      <c r="AO41" s="237"/>
      <c r="AP41" s="234" t="s">
        <v>84</v>
      </c>
      <c r="AQ41" s="236"/>
      <c r="AR41" s="236"/>
      <c r="AS41" s="236"/>
      <c r="AT41" s="236"/>
      <c r="AU41" s="236"/>
      <c r="AV41" s="237"/>
      <c r="AW41" s="164"/>
      <c r="AX41" s="164"/>
      <c r="AY41" s="164"/>
      <c r="AZ41" s="164"/>
      <c r="BA41" s="24"/>
      <c r="BB41" s="24"/>
      <c r="BK41" s="138"/>
    </row>
    <row r="42" spans="1:63" ht="15" customHeight="1">
      <c r="A42" s="23"/>
      <c r="B42" s="24"/>
      <c r="C42" s="24"/>
      <c r="D42" s="24"/>
      <c r="E42" s="201"/>
      <c r="F42" s="239">
        <v>1</v>
      </c>
      <c r="G42" s="240"/>
      <c r="H42" s="241" t="s">
        <v>162</v>
      </c>
      <c r="I42" s="242"/>
      <c r="J42" s="242"/>
      <c r="K42" s="242"/>
      <c r="L42" s="242"/>
      <c r="M42" s="242"/>
      <c r="N42" s="242"/>
      <c r="O42" s="242"/>
      <c r="P42" s="242"/>
      <c r="Q42" s="242"/>
      <c r="R42" s="241" t="s">
        <v>64</v>
      </c>
      <c r="S42" s="242"/>
      <c r="T42" s="242"/>
      <c r="U42" s="242"/>
      <c r="V42" s="242"/>
      <c r="W42" s="242"/>
      <c r="X42" s="242"/>
      <c r="Y42" s="243"/>
      <c r="Z42" s="241" t="s">
        <v>64</v>
      </c>
      <c r="AA42" s="242"/>
      <c r="AB42" s="242"/>
      <c r="AC42" s="242"/>
      <c r="AD42" s="242"/>
      <c r="AE42" s="242"/>
      <c r="AF42" s="243"/>
      <c r="AG42" s="241" t="s">
        <v>61</v>
      </c>
      <c r="AH42" s="242"/>
      <c r="AI42" s="242"/>
      <c r="AJ42" s="242"/>
      <c r="AK42" s="242"/>
      <c r="AL42" s="242"/>
      <c r="AM42" s="242"/>
      <c r="AN42" s="242"/>
      <c r="AO42" s="243"/>
      <c r="AP42" s="241" t="s">
        <v>99</v>
      </c>
      <c r="AQ42" s="242"/>
      <c r="AR42" s="242"/>
      <c r="AS42" s="242"/>
      <c r="AT42" s="242"/>
      <c r="AU42" s="242"/>
      <c r="AV42" s="243"/>
      <c r="AW42" s="164"/>
      <c r="AX42" s="164"/>
      <c r="AY42" s="164"/>
      <c r="AZ42" s="164"/>
      <c r="BA42" s="24"/>
      <c r="BB42" s="24"/>
      <c r="BK42" s="138"/>
    </row>
    <row r="43" spans="1:63" ht="15" customHeight="1">
      <c r="A43" s="23"/>
      <c r="B43" s="24"/>
      <c r="C43" s="24"/>
      <c r="D43" s="24"/>
      <c r="E43" s="24"/>
      <c r="F43" s="244"/>
      <c r="G43" s="245"/>
      <c r="H43" s="246"/>
      <c r="I43" s="247"/>
      <c r="J43" s="247"/>
      <c r="K43" s="247"/>
      <c r="L43" s="247"/>
      <c r="M43" s="247"/>
      <c r="N43" s="247"/>
      <c r="O43" s="247"/>
      <c r="P43" s="247"/>
      <c r="Q43" s="247"/>
      <c r="R43" s="246"/>
      <c r="S43" s="247"/>
      <c r="T43" s="247"/>
      <c r="U43" s="247"/>
      <c r="V43" s="247"/>
      <c r="W43" s="247"/>
      <c r="X43" s="247"/>
      <c r="Y43" s="248"/>
      <c r="Z43" s="246"/>
      <c r="AA43" s="247"/>
      <c r="AB43" s="247"/>
      <c r="AC43" s="247"/>
      <c r="AD43" s="247"/>
      <c r="AE43" s="247"/>
      <c r="AF43" s="248"/>
      <c r="AG43" s="246"/>
      <c r="AH43" s="247"/>
      <c r="AI43" s="247"/>
      <c r="AJ43" s="247"/>
      <c r="AK43" s="247"/>
      <c r="AL43" s="247"/>
      <c r="AM43" s="247"/>
      <c r="AN43" s="247"/>
      <c r="AO43" s="248"/>
      <c r="AP43" s="249"/>
      <c r="AQ43" s="247"/>
      <c r="AR43" s="247"/>
      <c r="AS43" s="247"/>
      <c r="AT43" s="247"/>
      <c r="AU43" s="247"/>
      <c r="AV43" s="248"/>
      <c r="AW43" s="164"/>
      <c r="AX43" s="164"/>
      <c r="AY43" s="164"/>
      <c r="AZ43" s="164"/>
      <c r="BA43" s="24"/>
      <c r="BB43" s="24"/>
      <c r="BK43" s="138"/>
    </row>
    <row r="44" spans="1:63" ht="15" customHeight="1">
      <c r="A44" s="23"/>
      <c r="B44" s="24"/>
      <c r="C44" s="24"/>
      <c r="D44" s="24"/>
      <c r="E44" s="2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24"/>
      <c r="BK44" s="25"/>
    </row>
    <row r="45" spans="1:63" ht="15" customHeight="1">
      <c r="A45" s="23"/>
      <c r="B45" s="178"/>
      <c r="C45" s="179" t="s">
        <v>156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5"/>
    </row>
    <row r="46" spans="1:63" ht="15" customHeight="1">
      <c r="A46" s="23"/>
      <c r="B46" s="178"/>
      <c r="C46" s="179"/>
      <c r="D46" s="24"/>
      <c r="E46" s="24" t="s">
        <v>157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5"/>
    </row>
    <row r="47" spans="1:63" ht="15" customHeight="1">
      <c r="A47" s="23"/>
      <c r="B47" s="178"/>
      <c r="C47" s="179"/>
      <c r="D47" s="24"/>
      <c r="E47" s="201" t="s">
        <v>70</v>
      </c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201"/>
      <c r="AY47" s="201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5"/>
    </row>
    <row r="48" spans="1:63" ht="15" customHeight="1">
      <c r="A48" s="23"/>
      <c r="B48" s="178"/>
      <c r="C48" s="179"/>
      <c r="D48" s="24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5"/>
    </row>
    <row r="49" spans="1:63" ht="15" customHeight="1">
      <c r="A49" s="23"/>
      <c r="B49" s="178"/>
      <c r="C49" s="179"/>
      <c r="D49" s="24"/>
      <c r="E49" s="201"/>
      <c r="F49" s="201"/>
      <c r="G49" s="202" t="s">
        <v>71</v>
      </c>
      <c r="H49" s="203"/>
      <c r="I49" s="202" t="s">
        <v>72</v>
      </c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3"/>
      <c r="Y49" s="202" t="s">
        <v>73</v>
      </c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5"/>
      <c r="AO49" s="206" t="s">
        <v>74</v>
      </c>
      <c r="AP49" s="204"/>
      <c r="AQ49" s="203"/>
      <c r="AR49" s="202" t="s">
        <v>75</v>
      </c>
      <c r="AS49" s="204"/>
      <c r="AT49" s="203"/>
      <c r="AU49" s="202" t="s">
        <v>76</v>
      </c>
      <c r="AV49" s="204"/>
      <c r="AW49" s="203"/>
      <c r="AX49" s="202" t="s">
        <v>77</v>
      </c>
      <c r="AY49" s="203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5"/>
    </row>
    <row r="50" spans="1:63" ht="15" customHeight="1">
      <c r="A50" s="23"/>
      <c r="B50" s="178"/>
      <c r="C50" s="179"/>
      <c r="D50" s="24"/>
      <c r="E50" s="201"/>
      <c r="F50" s="201"/>
      <c r="G50" s="207">
        <v>1</v>
      </c>
      <c r="H50" s="208"/>
      <c r="I50" s="545" t="s">
        <v>158</v>
      </c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7"/>
      <c r="Y50" s="545" t="s">
        <v>148</v>
      </c>
      <c r="Z50" s="546"/>
      <c r="AA50" s="546"/>
      <c r="AB50" s="546"/>
      <c r="AC50" s="546"/>
      <c r="AD50" s="546"/>
      <c r="AE50" s="546"/>
      <c r="AF50" s="546"/>
      <c r="AG50" s="546"/>
      <c r="AH50" s="546"/>
      <c r="AI50" s="546"/>
      <c r="AJ50" s="546"/>
      <c r="AK50" s="546"/>
      <c r="AL50" s="546"/>
      <c r="AM50" s="546"/>
      <c r="AN50" s="548"/>
      <c r="AO50" s="209"/>
      <c r="AP50" s="210"/>
      <c r="AQ50" s="208"/>
      <c r="AR50" s="211"/>
      <c r="AS50" s="210" t="s">
        <v>78</v>
      </c>
      <c r="AT50" s="208"/>
      <c r="AU50" s="211"/>
      <c r="AV50" s="210"/>
      <c r="AW50" s="208"/>
      <c r="AX50" s="211"/>
      <c r="AY50" s="208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5"/>
    </row>
    <row r="51" spans="1:63" ht="15" customHeight="1">
      <c r="A51" s="23"/>
      <c r="B51" s="178"/>
      <c r="C51" s="179"/>
      <c r="D51" s="24"/>
      <c r="E51" s="201"/>
      <c r="F51" s="201"/>
      <c r="G51" s="207">
        <v>2</v>
      </c>
      <c r="H51" s="208"/>
      <c r="I51" s="545" t="s">
        <v>159</v>
      </c>
      <c r="J51" s="546"/>
      <c r="K51" s="546"/>
      <c r="L51" s="546"/>
      <c r="M51" s="546"/>
      <c r="N51" s="546"/>
      <c r="O51" s="546"/>
      <c r="P51" s="546"/>
      <c r="Q51" s="546"/>
      <c r="R51" s="546"/>
      <c r="S51" s="546"/>
      <c r="T51" s="546"/>
      <c r="U51" s="546"/>
      <c r="V51" s="546"/>
      <c r="W51" s="546"/>
      <c r="X51" s="547"/>
      <c r="Y51" s="545" t="s">
        <v>165</v>
      </c>
      <c r="Z51" s="546"/>
      <c r="AA51" s="546"/>
      <c r="AB51" s="546"/>
      <c r="AC51" s="546"/>
      <c r="AD51" s="546"/>
      <c r="AE51" s="546"/>
      <c r="AF51" s="546"/>
      <c r="AG51" s="546"/>
      <c r="AH51" s="546"/>
      <c r="AI51" s="546"/>
      <c r="AJ51" s="546"/>
      <c r="AK51" s="546"/>
      <c r="AL51" s="546"/>
      <c r="AM51" s="546"/>
      <c r="AN51" s="548"/>
      <c r="AO51" s="209"/>
      <c r="AP51" s="210"/>
      <c r="AQ51" s="208"/>
      <c r="AR51" s="211"/>
      <c r="AS51" s="210" t="s">
        <v>78</v>
      </c>
      <c r="AT51" s="208"/>
      <c r="AU51" s="211"/>
      <c r="AV51" s="210"/>
      <c r="AW51" s="208"/>
      <c r="AX51" s="211"/>
      <c r="AY51" s="208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5"/>
    </row>
    <row r="52" spans="1:63" ht="15" customHeight="1">
      <c r="A52" s="23"/>
      <c r="B52" s="178"/>
      <c r="C52" s="179"/>
      <c r="D52" s="24"/>
      <c r="E52" s="201"/>
      <c r="F52" s="201"/>
      <c r="G52" s="212"/>
      <c r="H52" s="213"/>
      <c r="I52" s="21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21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213"/>
      <c r="AP52" s="215"/>
      <c r="AQ52" s="213"/>
      <c r="AR52" s="213"/>
      <c r="AS52" s="215"/>
      <c r="AT52" s="213"/>
      <c r="AU52" s="213"/>
      <c r="AV52" s="215"/>
      <c r="AW52" s="213"/>
      <c r="AX52" s="213"/>
      <c r="AY52" s="213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5"/>
    </row>
    <row r="53" spans="1:63" ht="15" customHeight="1">
      <c r="A53" s="23"/>
      <c r="B53" s="178"/>
      <c r="C53" s="179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5"/>
    </row>
    <row r="54" spans="1:63" ht="15" customHeight="1">
      <c r="A54" s="23"/>
      <c r="B54" s="178"/>
      <c r="C54" s="179"/>
      <c r="D54" s="24"/>
      <c r="E54" s="122" t="s">
        <v>79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5"/>
    </row>
    <row r="55" spans="1:63" ht="15" customHeight="1">
      <c r="A55" s="23"/>
      <c r="B55" s="178"/>
      <c r="C55" s="179"/>
      <c r="D55" s="24"/>
      <c r="E55" s="24"/>
      <c r="F55" s="216" t="s">
        <v>86</v>
      </c>
      <c r="G55" s="216" t="s">
        <v>110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5"/>
    </row>
    <row r="56" spans="1:63" ht="15" customHeight="1">
      <c r="A56" s="23"/>
      <c r="B56" s="178"/>
      <c r="C56" s="179"/>
      <c r="D56" s="24"/>
      <c r="E56" s="201"/>
      <c r="F56" s="201"/>
      <c r="G56" s="217" t="s">
        <v>90</v>
      </c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1"/>
      <c r="AV56" s="201"/>
      <c r="AW56" s="201"/>
      <c r="AX56" s="201"/>
      <c r="AY56" s="201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5"/>
    </row>
    <row r="57" spans="1:63" ht="15" customHeight="1">
      <c r="A57" s="23"/>
      <c r="B57" s="178"/>
      <c r="C57" s="179"/>
      <c r="D57" s="24"/>
      <c r="E57" s="24"/>
      <c r="F57" s="24"/>
      <c r="G57" s="218" t="s">
        <v>71</v>
      </c>
      <c r="H57" s="219"/>
      <c r="I57" s="220" t="s">
        <v>80</v>
      </c>
      <c r="J57" s="219"/>
      <c r="K57" s="219"/>
      <c r="L57" s="219"/>
      <c r="M57" s="219"/>
      <c r="N57" s="219"/>
      <c r="O57" s="219"/>
      <c r="P57" s="219"/>
      <c r="Q57" s="221"/>
      <c r="R57" s="222"/>
      <c r="S57" s="223" t="s">
        <v>81</v>
      </c>
      <c r="T57" s="224"/>
      <c r="U57" s="224"/>
      <c r="V57" s="224"/>
      <c r="W57" s="224"/>
      <c r="X57" s="225"/>
      <c r="Y57" s="220" t="s">
        <v>82</v>
      </c>
      <c r="Z57" s="219"/>
      <c r="AA57" s="219"/>
      <c r="AB57" s="219"/>
      <c r="AC57" s="219"/>
      <c r="AD57" s="219"/>
      <c r="AE57" s="219"/>
      <c r="AF57" s="219"/>
      <c r="AG57" s="221"/>
      <c r="AH57" s="219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6"/>
      <c r="AW57" s="226"/>
      <c r="AX57" s="227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5"/>
    </row>
    <row r="58" spans="1:63" ht="15" customHeight="1">
      <c r="A58" s="23"/>
      <c r="B58" s="178"/>
      <c r="C58" s="179"/>
      <c r="D58" s="24"/>
      <c r="E58" s="24"/>
      <c r="F58" s="24"/>
      <c r="G58" s="543">
        <v>9</v>
      </c>
      <c r="H58" s="544"/>
      <c r="I58" s="141" t="s">
        <v>148</v>
      </c>
      <c r="J58" s="140"/>
      <c r="K58" s="140"/>
      <c r="L58" s="140"/>
      <c r="M58" s="140"/>
      <c r="N58" s="140"/>
      <c r="O58" s="140"/>
      <c r="P58" s="140"/>
      <c r="Q58" s="228"/>
      <c r="R58" s="229"/>
      <c r="S58" s="230" t="s">
        <v>58</v>
      </c>
      <c r="T58" s="137"/>
      <c r="U58" s="137"/>
      <c r="V58" s="137"/>
      <c r="W58" s="137"/>
      <c r="X58" s="231"/>
      <c r="Y58" s="151" t="s">
        <v>166</v>
      </c>
      <c r="Z58" s="140"/>
      <c r="AA58" s="140"/>
      <c r="AB58" s="140"/>
      <c r="AC58" s="140"/>
      <c r="AD58" s="140"/>
      <c r="AE58" s="140"/>
      <c r="AF58" s="140"/>
      <c r="AG58" s="228"/>
      <c r="AH58" s="228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3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5"/>
    </row>
    <row r="59" spans="1:63" ht="15" customHeight="1">
      <c r="A59" s="23"/>
      <c r="B59" s="178"/>
      <c r="C59" s="179"/>
      <c r="D59" s="24"/>
      <c r="E59" s="24"/>
      <c r="F59" s="24"/>
      <c r="G59" s="543">
        <v>10</v>
      </c>
      <c r="H59" s="544"/>
      <c r="I59" s="141" t="s">
        <v>148</v>
      </c>
      <c r="J59" s="140"/>
      <c r="K59" s="140"/>
      <c r="L59" s="140"/>
      <c r="M59" s="140"/>
      <c r="N59" s="140"/>
      <c r="O59" s="140"/>
      <c r="P59" s="140"/>
      <c r="Q59" s="228"/>
      <c r="R59" s="229"/>
      <c r="S59" s="230" t="s">
        <v>58</v>
      </c>
      <c r="T59" s="137"/>
      <c r="U59" s="137"/>
      <c r="V59" s="137"/>
      <c r="W59" s="137"/>
      <c r="X59" s="231"/>
      <c r="Y59" s="151" t="s">
        <v>192</v>
      </c>
      <c r="Z59" s="140"/>
      <c r="AA59" s="140"/>
      <c r="AB59" s="140"/>
      <c r="AC59" s="140"/>
      <c r="AD59" s="140"/>
      <c r="AE59" s="140"/>
      <c r="AF59" s="140"/>
      <c r="AG59" s="228"/>
      <c r="AH59" s="228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3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5"/>
    </row>
    <row r="60" spans="1:63" ht="15" customHeight="1">
      <c r="A60" s="23"/>
      <c r="B60" s="178"/>
      <c r="C60" s="179"/>
      <c r="D60" s="24"/>
      <c r="E60" s="24"/>
      <c r="F60" s="24"/>
      <c r="G60" s="543">
        <v>11</v>
      </c>
      <c r="H60" s="544"/>
      <c r="I60" s="141" t="s">
        <v>165</v>
      </c>
      <c r="J60" s="140"/>
      <c r="K60" s="140"/>
      <c r="L60" s="140"/>
      <c r="M60" s="140"/>
      <c r="N60" s="140"/>
      <c r="O60" s="140"/>
      <c r="P60" s="140"/>
      <c r="Q60" s="228"/>
      <c r="R60" s="229"/>
      <c r="S60" s="230" t="s">
        <v>58</v>
      </c>
      <c r="T60" s="137"/>
      <c r="U60" s="137"/>
      <c r="V60" s="137"/>
      <c r="W60" s="137"/>
      <c r="X60" s="231"/>
      <c r="Y60" s="298" t="s">
        <v>193</v>
      </c>
      <c r="Z60" s="294"/>
      <c r="AA60" s="294"/>
      <c r="AB60" s="294"/>
      <c r="AC60" s="294"/>
      <c r="AD60" s="294"/>
      <c r="AE60" s="294"/>
      <c r="AF60" s="294"/>
      <c r="AG60" s="295"/>
      <c r="AH60" s="292"/>
      <c r="AI60" s="47"/>
      <c r="AJ60" s="293"/>
      <c r="AK60" s="293"/>
      <c r="AL60" s="293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3"/>
      <c r="AY60" s="24"/>
      <c r="AZ60" s="90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5"/>
    </row>
    <row r="61" spans="1:63" ht="15" customHeight="1">
      <c r="A61" s="23"/>
      <c r="B61" s="178"/>
      <c r="C61" s="179"/>
      <c r="D61" s="24"/>
      <c r="E61" s="24"/>
      <c r="F61" s="24"/>
      <c r="G61" s="543">
        <v>12</v>
      </c>
      <c r="H61" s="544"/>
      <c r="I61" s="141" t="s">
        <v>165</v>
      </c>
      <c r="J61" s="140"/>
      <c r="K61" s="140"/>
      <c r="L61" s="140"/>
      <c r="M61" s="140"/>
      <c r="N61" s="140"/>
      <c r="O61" s="140"/>
      <c r="P61" s="140"/>
      <c r="Q61" s="228"/>
      <c r="R61" s="229"/>
      <c r="S61" s="230" t="s">
        <v>58</v>
      </c>
      <c r="T61" s="137"/>
      <c r="U61" s="137"/>
      <c r="V61" s="137"/>
      <c r="W61" s="137"/>
      <c r="X61" s="231"/>
      <c r="Y61" s="298" t="s">
        <v>194</v>
      </c>
      <c r="Z61" s="294"/>
      <c r="AA61" s="294"/>
      <c r="AB61" s="294"/>
      <c r="AC61" s="294"/>
      <c r="AD61" s="294"/>
      <c r="AE61" s="294"/>
      <c r="AF61" s="294"/>
      <c r="AG61" s="295"/>
      <c r="AH61" s="292"/>
      <c r="AI61" s="47"/>
      <c r="AJ61" s="293"/>
      <c r="AK61" s="293"/>
      <c r="AL61" s="293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3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5"/>
    </row>
    <row r="62" spans="1:63" ht="15" customHeight="1">
      <c r="A62" s="23"/>
      <c r="B62" s="178"/>
      <c r="C62" s="179"/>
      <c r="D62" s="24"/>
      <c r="E62" s="24"/>
      <c r="F62" s="24"/>
      <c r="G62" s="543">
        <v>13</v>
      </c>
      <c r="H62" s="544"/>
      <c r="I62" s="141" t="s">
        <v>165</v>
      </c>
      <c r="J62" s="140"/>
      <c r="K62" s="140"/>
      <c r="L62" s="140"/>
      <c r="M62" s="140"/>
      <c r="N62" s="140"/>
      <c r="O62" s="140"/>
      <c r="P62" s="140"/>
      <c r="Q62" s="228"/>
      <c r="R62" s="229"/>
      <c r="S62" s="230" t="s">
        <v>58</v>
      </c>
      <c r="T62" s="137"/>
      <c r="U62" s="137"/>
      <c r="V62" s="137"/>
      <c r="W62" s="137"/>
      <c r="X62" s="231"/>
      <c r="Y62" s="298" t="s">
        <v>173</v>
      </c>
      <c r="Z62" s="294"/>
      <c r="AA62" s="294"/>
      <c r="AB62" s="294"/>
      <c r="AC62" s="294"/>
      <c r="AD62" s="294"/>
      <c r="AE62" s="294"/>
      <c r="AF62" s="294"/>
      <c r="AG62" s="295"/>
      <c r="AH62" s="292"/>
      <c r="AI62" s="47"/>
      <c r="AJ62" s="293"/>
      <c r="AK62" s="293"/>
      <c r="AL62" s="293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3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5"/>
    </row>
    <row r="63" spans="1:63" ht="15" customHeight="1">
      <c r="A63" s="23"/>
      <c r="B63" s="178"/>
      <c r="C63" s="179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5"/>
    </row>
    <row r="64" spans="1:63" ht="15" customHeight="1">
      <c r="A64" s="23"/>
      <c r="B64" s="178"/>
      <c r="C64" s="179"/>
      <c r="D64" s="24"/>
      <c r="E64" s="24"/>
      <c r="F64" s="216" t="s">
        <v>87</v>
      </c>
      <c r="G64" s="216" t="s">
        <v>88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1"/>
      <c r="BC64" s="201"/>
      <c r="BD64" s="201"/>
      <c r="BE64" s="201"/>
      <c r="BF64" s="201"/>
      <c r="BG64" s="24"/>
      <c r="BH64" s="24"/>
      <c r="BI64" s="24"/>
      <c r="BJ64" s="24"/>
      <c r="BK64" s="25"/>
    </row>
    <row r="65" spans="1:63" ht="15" customHeight="1">
      <c r="A65" s="23"/>
      <c r="B65" s="178"/>
      <c r="C65" s="179"/>
      <c r="D65" s="24"/>
      <c r="E65" s="24"/>
      <c r="F65" s="216"/>
      <c r="G65" s="232" t="s">
        <v>160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  <c r="AT65" s="201"/>
      <c r="AU65" s="201"/>
      <c r="AV65" s="201"/>
      <c r="AW65" s="201"/>
      <c r="AX65" s="201"/>
      <c r="AY65" s="201"/>
      <c r="AZ65" s="201"/>
      <c r="BA65" s="201"/>
      <c r="BB65" s="201"/>
      <c r="BC65" s="201"/>
      <c r="BD65" s="201"/>
      <c r="BE65" s="201"/>
      <c r="BF65" s="201"/>
      <c r="BG65" s="24"/>
      <c r="BH65" s="24"/>
      <c r="BI65" s="24"/>
      <c r="BJ65" s="24"/>
      <c r="BK65" s="25"/>
    </row>
    <row r="66" spans="1:63" ht="15" customHeight="1">
      <c r="A66" s="23"/>
      <c r="B66" s="178"/>
      <c r="C66" s="179"/>
      <c r="D66" s="24"/>
      <c r="E66" s="24"/>
      <c r="F66" s="201"/>
      <c r="G66" s="218" t="s">
        <v>71</v>
      </c>
      <c r="H66" s="222"/>
      <c r="I66" s="233" t="s">
        <v>80</v>
      </c>
      <c r="J66" s="234"/>
      <c r="K66" s="234"/>
      <c r="L66" s="234"/>
      <c r="M66" s="234"/>
      <c r="N66" s="234"/>
      <c r="O66" s="234"/>
      <c r="P66" s="234"/>
      <c r="Q66" s="234"/>
      <c r="R66" s="235"/>
      <c r="S66" s="220" t="s">
        <v>82</v>
      </c>
      <c r="T66" s="234"/>
      <c r="U66" s="234"/>
      <c r="V66" s="234"/>
      <c r="W66" s="234"/>
      <c r="X66" s="234"/>
      <c r="Y66" s="234"/>
      <c r="Z66" s="235"/>
      <c r="AA66" s="220" t="s">
        <v>82</v>
      </c>
      <c r="AB66" s="236"/>
      <c r="AC66" s="236"/>
      <c r="AD66" s="236"/>
      <c r="AE66" s="236"/>
      <c r="AF66" s="236"/>
      <c r="AG66" s="237"/>
      <c r="AH66" s="238" t="s">
        <v>89</v>
      </c>
      <c r="AI66" s="236"/>
      <c r="AJ66" s="236"/>
      <c r="AK66" s="236"/>
      <c r="AL66" s="236"/>
      <c r="AM66" s="236"/>
      <c r="AN66" s="236"/>
      <c r="AO66" s="236"/>
      <c r="AP66" s="237"/>
      <c r="AQ66" s="234" t="s">
        <v>84</v>
      </c>
      <c r="AR66" s="236"/>
      <c r="AS66" s="236"/>
      <c r="AT66" s="236"/>
      <c r="AU66" s="236"/>
      <c r="AV66" s="236"/>
      <c r="AW66" s="237"/>
      <c r="AX66" s="164"/>
      <c r="AY66" s="164"/>
      <c r="AZ66" s="164"/>
      <c r="BA66" s="164"/>
      <c r="BB66" s="24"/>
      <c r="BC66" s="24"/>
      <c r="BG66" s="24"/>
      <c r="BH66" s="24"/>
      <c r="BI66" s="24"/>
      <c r="BJ66" s="24"/>
      <c r="BK66" s="25"/>
    </row>
    <row r="67" spans="1:63" ht="15" customHeight="1">
      <c r="A67" s="23"/>
      <c r="B67" s="178"/>
      <c r="C67" s="179"/>
      <c r="D67" s="24"/>
      <c r="E67" s="24"/>
      <c r="F67" s="201"/>
      <c r="G67" s="239">
        <v>1</v>
      </c>
      <c r="H67" s="240"/>
      <c r="I67" s="241" t="s">
        <v>165</v>
      </c>
      <c r="J67" s="242"/>
      <c r="K67" s="242"/>
      <c r="L67" s="242"/>
      <c r="M67" s="242"/>
      <c r="N67" s="242"/>
      <c r="O67" s="242"/>
      <c r="P67" s="242"/>
      <c r="Q67" s="242"/>
      <c r="R67" s="242"/>
      <c r="S67" s="241" t="s">
        <v>166</v>
      </c>
      <c r="T67" s="242"/>
      <c r="U67" s="242"/>
      <c r="V67" s="242"/>
      <c r="W67" s="242"/>
      <c r="X67" s="242"/>
      <c r="Y67" s="242"/>
      <c r="Z67" s="243"/>
      <c r="AA67" s="241" t="s">
        <v>166</v>
      </c>
      <c r="AB67" s="242"/>
      <c r="AC67" s="242"/>
      <c r="AD67" s="242"/>
      <c r="AE67" s="242"/>
      <c r="AF67" s="242"/>
      <c r="AG67" s="243"/>
      <c r="AH67" s="241" t="s">
        <v>148</v>
      </c>
      <c r="AI67" s="242"/>
      <c r="AJ67" s="242"/>
      <c r="AK67" s="242"/>
      <c r="AL67" s="242"/>
      <c r="AM67" s="242"/>
      <c r="AN67" s="242"/>
      <c r="AO67" s="242"/>
      <c r="AP67" s="243"/>
      <c r="AQ67" s="241" t="s">
        <v>99</v>
      </c>
      <c r="AR67" s="242"/>
      <c r="AS67" s="242"/>
      <c r="AT67" s="242"/>
      <c r="AU67" s="242"/>
      <c r="AV67" s="242"/>
      <c r="AW67" s="243"/>
      <c r="AX67" s="164"/>
      <c r="AY67" s="164"/>
      <c r="AZ67" s="164"/>
      <c r="BA67" s="164"/>
      <c r="BB67" s="24"/>
      <c r="BC67" s="24"/>
      <c r="BG67" s="24"/>
      <c r="BH67" s="24"/>
      <c r="BI67" s="24"/>
      <c r="BJ67" s="24"/>
      <c r="BK67" s="25"/>
    </row>
    <row r="68" spans="1:63" ht="15" customHeight="1">
      <c r="A68" s="23"/>
      <c r="B68" s="178"/>
      <c r="C68" s="179"/>
      <c r="D68" s="24"/>
      <c r="E68" s="24"/>
      <c r="F68" s="24"/>
      <c r="G68" s="244"/>
      <c r="H68" s="245"/>
      <c r="I68" s="246"/>
      <c r="J68" s="247"/>
      <c r="K68" s="247"/>
      <c r="L68" s="247"/>
      <c r="M68" s="247"/>
      <c r="N68" s="247"/>
      <c r="O68" s="247"/>
      <c r="P68" s="247"/>
      <c r="Q68" s="247"/>
      <c r="R68" s="247"/>
      <c r="S68" s="246"/>
      <c r="T68" s="247"/>
      <c r="U68" s="247"/>
      <c r="V68" s="247"/>
      <c r="W68" s="247"/>
      <c r="X68" s="247"/>
      <c r="Y68" s="247"/>
      <c r="Z68" s="248"/>
      <c r="AA68" s="246"/>
      <c r="AB68" s="247"/>
      <c r="AC68" s="247"/>
      <c r="AD68" s="247"/>
      <c r="AE68" s="247"/>
      <c r="AF68" s="247"/>
      <c r="AG68" s="248"/>
      <c r="AH68" s="246"/>
      <c r="AI68" s="247"/>
      <c r="AJ68" s="247"/>
      <c r="AK68" s="247"/>
      <c r="AL68" s="247"/>
      <c r="AM68" s="247"/>
      <c r="AN68" s="247"/>
      <c r="AO68" s="247"/>
      <c r="AP68" s="248"/>
      <c r="AQ68" s="249"/>
      <c r="AR68" s="247"/>
      <c r="AS68" s="247"/>
      <c r="AT68" s="247"/>
      <c r="AU68" s="247"/>
      <c r="AV68" s="247"/>
      <c r="AW68" s="248"/>
      <c r="AX68" s="164"/>
      <c r="AY68" s="164"/>
      <c r="AZ68" s="164"/>
      <c r="BA68" s="164"/>
      <c r="BB68" s="24"/>
      <c r="BC68" s="24"/>
      <c r="BG68" s="24"/>
      <c r="BH68" s="24"/>
      <c r="BI68" s="24"/>
      <c r="BJ68" s="24"/>
      <c r="BK68" s="25"/>
    </row>
    <row r="69" spans="1:63" ht="15" customHeight="1">
      <c r="A69" s="23"/>
      <c r="B69" s="178"/>
      <c r="C69" s="179"/>
      <c r="D69" s="24"/>
      <c r="E69" s="24"/>
      <c r="F69" s="24"/>
      <c r="G69" s="213"/>
      <c r="H69" s="213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  <c r="AI69" s="216"/>
      <c r="AJ69" s="216"/>
      <c r="AK69" s="216"/>
      <c r="AL69" s="216"/>
      <c r="AM69" s="216"/>
      <c r="AN69" s="216"/>
      <c r="AO69" s="216"/>
      <c r="AP69" s="216"/>
      <c r="AR69" s="216"/>
      <c r="AS69" s="216"/>
      <c r="AT69" s="216"/>
      <c r="AU69" s="216"/>
      <c r="AV69" s="216"/>
      <c r="AW69" s="216"/>
      <c r="AX69" s="164"/>
      <c r="AY69" s="164"/>
      <c r="AZ69" s="164"/>
      <c r="BA69" s="164"/>
      <c r="BB69" s="24"/>
      <c r="BC69" s="24"/>
      <c r="BG69" s="24"/>
      <c r="BH69" s="24"/>
      <c r="BI69" s="24"/>
      <c r="BJ69" s="24"/>
      <c r="BK69" s="25"/>
    </row>
    <row r="70" spans="1:63" ht="15" customHeight="1">
      <c r="A70" s="23"/>
      <c r="B70" s="178"/>
      <c r="C70" s="179"/>
      <c r="D70" s="24"/>
      <c r="E70" s="24"/>
      <c r="F70" s="216" t="s">
        <v>117</v>
      </c>
      <c r="G70" s="164" t="s">
        <v>118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  <c r="AR70" s="216"/>
      <c r="AS70" s="216"/>
      <c r="AT70" s="216"/>
      <c r="AU70" s="216"/>
      <c r="AV70" s="216"/>
      <c r="AW70" s="216"/>
      <c r="AX70" s="164"/>
      <c r="AY70" s="164"/>
      <c r="AZ70" s="164"/>
      <c r="BA70" s="164"/>
      <c r="BB70" s="24"/>
      <c r="BC70" s="24"/>
      <c r="BG70" s="24"/>
      <c r="BH70" s="24"/>
      <c r="BI70" s="24"/>
      <c r="BJ70" s="24"/>
      <c r="BK70" s="25"/>
    </row>
    <row r="71" spans="1:63" ht="15" customHeight="1">
      <c r="A71" s="23"/>
      <c r="B71" s="178"/>
      <c r="C71" s="179"/>
      <c r="D71" s="24"/>
      <c r="E71" s="24"/>
      <c r="F71" s="24"/>
      <c r="G71" s="202" t="s">
        <v>71</v>
      </c>
      <c r="H71" s="203"/>
      <c r="I71" s="238" t="s">
        <v>80</v>
      </c>
      <c r="J71" s="236"/>
      <c r="K71" s="236"/>
      <c r="L71" s="236"/>
      <c r="M71" s="236"/>
      <c r="N71" s="236"/>
      <c r="O71" s="236"/>
      <c r="P71" s="236"/>
      <c r="Q71" s="236"/>
      <c r="R71" s="237"/>
      <c r="S71" s="236" t="s">
        <v>119</v>
      </c>
      <c r="T71" s="236"/>
      <c r="U71" s="236"/>
      <c r="V71" s="236"/>
      <c r="W71" s="236"/>
      <c r="X71" s="236"/>
      <c r="Y71" s="236"/>
      <c r="Z71" s="236"/>
      <c r="AA71" s="236"/>
      <c r="AB71" s="236"/>
      <c r="AC71" s="238" t="s">
        <v>120</v>
      </c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7"/>
      <c r="BG71" s="24"/>
      <c r="BH71" s="24"/>
      <c r="BI71" s="24"/>
      <c r="BJ71" s="24"/>
      <c r="BK71" s="25"/>
    </row>
    <row r="72" spans="1:63" ht="15" customHeight="1">
      <c r="A72" s="23"/>
      <c r="B72" s="178"/>
      <c r="C72" s="179"/>
      <c r="D72" s="24"/>
      <c r="E72" s="24"/>
      <c r="F72" s="24"/>
      <c r="G72" s="211">
        <v>1</v>
      </c>
      <c r="H72" s="208"/>
      <c r="I72" s="263" t="s">
        <v>148</v>
      </c>
      <c r="J72" s="228"/>
      <c r="K72" s="228"/>
      <c r="L72" s="228"/>
      <c r="M72" s="228"/>
      <c r="N72" s="228"/>
      <c r="O72" s="228"/>
      <c r="P72" s="228"/>
      <c r="Q72" s="228"/>
      <c r="R72" s="229"/>
      <c r="S72" s="141" t="s">
        <v>167</v>
      </c>
      <c r="T72" s="228"/>
      <c r="U72" s="228"/>
      <c r="V72" s="228"/>
      <c r="W72" s="228"/>
      <c r="X72" s="228"/>
      <c r="Y72" s="228"/>
      <c r="Z72" s="228"/>
      <c r="AA72" s="228"/>
      <c r="AB72" s="228"/>
      <c r="AC72" s="141" t="s">
        <v>121</v>
      </c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A72" s="228"/>
      <c r="BB72" s="228"/>
      <c r="BC72" s="229"/>
      <c r="BG72" s="24"/>
      <c r="BH72" s="24"/>
      <c r="BI72" s="24"/>
      <c r="BJ72" s="24"/>
      <c r="BK72" s="25"/>
    </row>
    <row r="73" spans="1:63" ht="15" customHeight="1">
      <c r="A73" s="23"/>
      <c r="B73" s="178"/>
      <c r="D73" s="24"/>
      <c r="E73" s="24"/>
      <c r="F73" s="24"/>
      <c r="G73" s="213"/>
      <c r="H73" s="213"/>
      <c r="I73" s="71"/>
      <c r="J73" s="216"/>
      <c r="K73" s="216"/>
      <c r="L73" s="216"/>
      <c r="M73" s="216"/>
      <c r="N73" s="216"/>
      <c r="O73" s="216"/>
      <c r="P73" s="216"/>
      <c r="Q73" s="216"/>
      <c r="R73" s="216"/>
      <c r="S73" s="164"/>
      <c r="T73" s="216"/>
      <c r="U73" s="216"/>
      <c r="V73" s="216"/>
      <c r="W73" s="216"/>
      <c r="X73" s="216"/>
      <c r="Y73" s="216"/>
      <c r="Z73" s="216"/>
      <c r="AA73" s="216"/>
      <c r="AB73" s="216"/>
      <c r="AC73" s="164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  <c r="AT73" s="216"/>
      <c r="AU73" s="216"/>
      <c r="AV73" s="216"/>
      <c r="AW73" s="216"/>
      <c r="AX73" s="216"/>
      <c r="AY73" s="216"/>
      <c r="AZ73" s="216"/>
      <c r="BA73" s="216"/>
      <c r="BB73" s="216"/>
      <c r="BC73" s="216"/>
      <c r="BG73" s="24"/>
      <c r="BH73" s="24"/>
      <c r="BI73" s="24"/>
      <c r="BJ73" s="24"/>
      <c r="BK73" s="25"/>
    </row>
    <row r="74" spans="1:63" ht="15" customHeight="1">
      <c r="A74" s="23"/>
      <c r="B74" s="178"/>
      <c r="C74" s="179"/>
      <c r="D74" s="24"/>
      <c r="E74" s="24"/>
      <c r="F74" s="179" t="s">
        <v>177</v>
      </c>
      <c r="G74" s="164" t="s">
        <v>126</v>
      </c>
      <c r="H74" s="213"/>
      <c r="I74" s="267"/>
      <c r="J74" s="267"/>
      <c r="K74" s="267"/>
      <c r="L74" s="267"/>
      <c r="M74" s="267"/>
      <c r="N74" s="267"/>
      <c r="O74" s="267"/>
      <c r="P74" s="267"/>
      <c r="Q74" s="267"/>
      <c r="R74" s="268"/>
      <c r="S74" s="267"/>
      <c r="T74" s="267"/>
      <c r="U74" s="267"/>
      <c r="V74" s="267"/>
      <c r="W74" s="267"/>
      <c r="X74" s="267"/>
      <c r="Y74" s="267"/>
      <c r="Z74" s="267"/>
      <c r="AA74" s="267"/>
      <c r="AB74" s="268"/>
      <c r="AC74" s="267"/>
      <c r="AD74" s="267"/>
      <c r="AE74" s="267"/>
      <c r="AF74" s="267"/>
      <c r="AG74" s="267"/>
      <c r="AH74" s="267"/>
      <c r="AI74" s="267"/>
      <c r="AJ74" s="267"/>
      <c r="AK74" s="267"/>
      <c r="AL74" s="267"/>
      <c r="AM74" s="267"/>
      <c r="AN74" s="216"/>
      <c r="AO74" s="216"/>
      <c r="AP74" s="216"/>
      <c r="AQ74" s="216"/>
      <c r="AR74" s="216"/>
      <c r="AS74" s="216"/>
      <c r="AT74" s="216"/>
      <c r="AU74" s="216"/>
      <c r="AV74" s="216"/>
      <c r="AW74" s="216"/>
      <c r="AX74" s="216"/>
      <c r="AY74" s="216"/>
      <c r="AZ74" s="216"/>
      <c r="BA74" s="216"/>
      <c r="BB74" s="216"/>
      <c r="BC74" s="24"/>
      <c r="BG74" s="24"/>
      <c r="BH74" s="24"/>
      <c r="BI74" s="24"/>
      <c r="BJ74" s="24"/>
      <c r="BK74" s="25"/>
    </row>
    <row r="75" spans="1:63" ht="15" customHeight="1">
      <c r="A75" s="23"/>
      <c r="B75" s="178"/>
      <c r="C75" s="179"/>
      <c r="D75" s="24"/>
      <c r="E75" s="24"/>
      <c r="F75" s="164"/>
      <c r="G75" s="202" t="s">
        <v>71</v>
      </c>
      <c r="H75" s="203"/>
      <c r="I75" s="238" t="s">
        <v>80</v>
      </c>
      <c r="J75" s="236"/>
      <c r="K75" s="236"/>
      <c r="L75" s="236"/>
      <c r="M75" s="236"/>
      <c r="N75" s="236"/>
      <c r="O75" s="236"/>
      <c r="P75" s="236"/>
      <c r="Q75" s="236"/>
      <c r="R75" s="237"/>
      <c r="S75" s="236" t="s">
        <v>119</v>
      </c>
      <c r="T75" s="236"/>
      <c r="U75" s="236"/>
      <c r="V75" s="236"/>
      <c r="W75" s="236"/>
      <c r="X75" s="236"/>
      <c r="Y75" s="236"/>
      <c r="Z75" s="236"/>
      <c r="AA75" s="236"/>
      <c r="AB75" s="236"/>
      <c r="AC75" s="238" t="s">
        <v>60</v>
      </c>
      <c r="AD75" s="236"/>
      <c r="AE75" s="236"/>
      <c r="AF75" s="236"/>
      <c r="AG75" s="236"/>
      <c r="AH75" s="269"/>
      <c r="AI75" s="269"/>
      <c r="AJ75" s="269"/>
      <c r="AK75" s="269"/>
      <c r="AL75" s="269"/>
      <c r="AM75" s="269"/>
      <c r="AN75" s="269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7"/>
      <c r="BG75" s="24"/>
      <c r="BH75" s="24"/>
      <c r="BI75" s="24"/>
      <c r="BJ75" s="24"/>
      <c r="BK75" s="25"/>
    </row>
    <row r="76" spans="1:63" ht="15" customHeight="1">
      <c r="A76" s="23"/>
      <c r="B76" s="178"/>
      <c r="C76" s="179"/>
      <c r="D76" s="24"/>
      <c r="E76" s="24"/>
      <c r="F76" s="164"/>
      <c r="G76" s="211">
        <v>1</v>
      </c>
      <c r="H76" s="208"/>
      <c r="I76" s="263" t="s">
        <v>165</v>
      </c>
      <c r="J76" s="228"/>
      <c r="K76" s="228"/>
      <c r="L76" s="228"/>
      <c r="M76" s="228"/>
      <c r="N76" s="228"/>
      <c r="O76" s="228"/>
      <c r="P76" s="228"/>
      <c r="Q76" s="228"/>
      <c r="R76" s="229"/>
      <c r="S76" s="141" t="s">
        <v>163</v>
      </c>
      <c r="T76" s="228"/>
      <c r="U76" s="228"/>
      <c r="V76" s="228"/>
      <c r="W76" s="228"/>
      <c r="X76" s="228"/>
      <c r="Y76" s="228"/>
      <c r="Z76" s="228"/>
      <c r="AA76" s="228"/>
      <c r="AB76" s="228"/>
      <c r="AC76" s="141" t="s">
        <v>164</v>
      </c>
      <c r="AD76" s="228"/>
      <c r="AE76" s="228"/>
      <c r="AF76" s="228"/>
      <c r="AG76" s="228"/>
      <c r="AH76" s="270"/>
      <c r="AI76" s="270"/>
      <c r="AJ76" s="270"/>
      <c r="AK76" s="270"/>
      <c r="AL76" s="270"/>
      <c r="AM76" s="270"/>
      <c r="AN76" s="270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9"/>
      <c r="BG76" s="24"/>
      <c r="BH76" s="24"/>
      <c r="BI76" s="24"/>
      <c r="BJ76" s="24"/>
      <c r="BK76" s="25"/>
    </row>
    <row r="77" spans="1:63" ht="15" customHeight="1">
      <c r="A77" s="23"/>
      <c r="B77" s="178"/>
      <c r="C77" s="179"/>
      <c r="D77" s="24"/>
      <c r="E77" s="24"/>
      <c r="F77" s="24"/>
      <c r="G77" s="213"/>
      <c r="H77" s="213"/>
      <c r="I77" s="71"/>
      <c r="J77" s="216"/>
      <c r="K77" s="216"/>
      <c r="L77" s="216"/>
      <c r="M77" s="216"/>
      <c r="N77" s="216"/>
      <c r="O77" s="216"/>
      <c r="P77" s="216"/>
      <c r="Q77" s="216"/>
      <c r="R77" s="216"/>
      <c r="S77" s="164"/>
      <c r="T77" s="216"/>
      <c r="U77" s="216"/>
      <c r="V77" s="216"/>
      <c r="W77" s="216"/>
      <c r="X77" s="216"/>
      <c r="Y77" s="216"/>
      <c r="Z77" s="216"/>
      <c r="AA77" s="216"/>
      <c r="AB77" s="216"/>
      <c r="AC77" s="164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G77" s="24"/>
      <c r="BH77" s="24"/>
      <c r="BI77" s="24"/>
      <c r="BJ77" s="24"/>
      <c r="BK77" s="25"/>
    </row>
    <row r="78" spans="1:63" ht="15" customHeight="1">
      <c r="A78" s="23"/>
      <c r="B78" s="178"/>
      <c r="C78" s="179"/>
      <c r="D78" s="24"/>
      <c r="E78" s="24"/>
      <c r="F78" s="24"/>
      <c r="G78" s="213"/>
      <c r="H78" s="213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16"/>
      <c r="AN78" s="216"/>
      <c r="AO78" s="216"/>
      <c r="AP78" s="216"/>
      <c r="AR78" s="216"/>
      <c r="AS78" s="216"/>
      <c r="AT78" s="216"/>
      <c r="AU78" s="216"/>
      <c r="AV78" s="216"/>
      <c r="AW78" s="216"/>
      <c r="AX78" s="164"/>
      <c r="AY78" s="164"/>
      <c r="AZ78" s="164"/>
      <c r="BA78" s="164"/>
      <c r="BB78" s="24"/>
      <c r="BC78" s="24"/>
      <c r="BG78" s="24"/>
      <c r="BH78" s="24"/>
      <c r="BI78" s="24"/>
      <c r="BJ78" s="24"/>
      <c r="BK78" s="25"/>
    </row>
    <row r="79" spans="1:63" ht="15" customHeight="1">
      <c r="A79" s="23"/>
      <c r="B79" s="24"/>
      <c r="C79" s="179" t="s">
        <v>127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5"/>
    </row>
    <row r="80" spans="1:63" ht="15" customHeight="1">
      <c r="A80" s="23"/>
      <c r="B80" s="24"/>
      <c r="C80" s="24"/>
      <c r="D80" s="216" t="s">
        <v>111</v>
      </c>
      <c r="E80" s="16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5"/>
    </row>
    <row r="81" spans="1:63" ht="15" customHeight="1">
      <c r="A81" s="23"/>
      <c r="B81" s="24"/>
      <c r="D81" s="40" t="s">
        <v>52</v>
      </c>
      <c r="E81" s="41"/>
      <c r="F81" s="40" t="s">
        <v>59</v>
      </c>
      <c r="G81" s="44"/>
      <c r="H81" s="44"/>
      <c r="I81" s="44"/>
      <c r="J81" s="64"/>
      <c r="K81" s="64"/>
      <c r="L81" s="44"/>
      <c r="M81" s="113"/>
      <c r="N81" s="113"/>
      <c r="O81" s="40" t="s">
        <v>60</v>
      </c>
      <c r="P81" s="44"/>
      <c r="Q81" s="64"/>
      <c r="R81" s="64"/>
      <c r="S81" s="44"/>
      <c r="T81" s="44"/>
      <c r="U81" s="44"/>
      <c r="V81" s="44"/>
      <c r="W81" s="44"/>
      <c r="X81" s="64"/>
      <c r="Y81" s="64"/>
      <c r="Z81" s="44"/>
      <c r="AA81" s="44"/>
      <c r="AB81" s="44"/>
      <c r="AC81" s="65"/>
      <c r="AD81" s="40" t="s">
        <v>55</v>
      </c>
      <c r="AE81" s="44"/>
      <c r="AF81" s="44"/>
      <c r="AG81" s="44"/>
      <c r="AH81" s="44"/>
      <c r="AI81" s="44"/>
      <c r="AJ81" s="44"/>
      <c r="AK81" s="44"/>
      <c r="AL81" s="44"/>
      <c r="AM81" s="44"/>
      <c r="AN81" s="48"/>
      <c r="AO81" s="48"/>
      <c r="AP81" s="48"/>
      <c r="AQ81" s="48"/>
      <c r="AR81" s="48"/>
      <c r="AS81" s="48"/>
      <c r="AT81" s="48"/>
      <c r="AU81" s="48"/>
      <c r="AV81" s="49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5"/>
    </row>
    <row r="82" spans="1:63" s="2" customFormat="1" ht="15" customHeight="1">
      <c r="A82" s="271"/>
      <c r="B82" s="260"/>
      <c r="D82" s="281">
        <v>1</v>
      </c>
      <c r="E82" s="280"/>
      <c r="F82" s="279" t="s">
        <v>168</v>
      </c>
      <c r="G82" s="279"/>
      <c r="H82" s="279"/>
      <c r="I82" s="279"/>
      <c r="J82" s="273"/>
      <c r="K82" s="273"/>
      <c r="L82" s="279"/>
      <c r="M82" s="273"/>
      <c r="N82" s="273"/>
      <c r="O82" s="299" t="s">
        <v>174</v>
      </c>
      <c r="P82" s="197"/>
      <c r="Q82" s="197"/>
      <c r="R82" s="283"/>
      <c r="S82" s="286"/>
      <c r="T82" s="282"/>
      <c r="U82" s="282"/>
      <c r="V82" s="282"/>
      <c r="W82" s="282"/>
      <c r="X82" s="283"/>
      <c r="Y82" s="283"/>
      <c r="Z82" s="282"/>
      <c r="AA82" s="282"/>
      <c r="AB82" s="282"/>
      <c r="AC82" s="284"/>
      <c r="AD82" s="281"/>
      <c r="AE82" s="279"/>
      <c r="AF82" s="279"/>
      <c r="AG82" s="279"/>
      <c r="AH82" s="279"/>
      <c r="AI82" s="279"/>
      <c r="AJ82" s="279"/>
      <c r="AK82" s="279"/>
      <c r="AL82" s="279"/>
      <c r="AM82" s="279"/>
      <c r="AN82" s="279"/>
      <c r="AO82" s="279"/>
      <c r="AP82" s="279"/>
      <c r="AQ82" s="279"/>
      <c r="AR82" s="279"/>
      <c r="AS82" s="279"/>
      <c r="AT82" s="279"/>
      <c r="AU82" s="279"/>
      <c r="AV82" s="28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260"/>
      <c r="BK82" s="275"/>
    </row>
    <row r="83" spans="1:63" ht="15" customHeight="1">
      <c r="A83" s="23"/>
      <c r="B83" s="24"/>
      <c r="D83" s="42">
        <v>2</v>
      </c>
      <c r="E83" s="43"/>
      <c r="F83" s="193" t="s">
        <v>131</v>
      </c>
      <c r="G83" s="193"/>
      <c r="H83" s="191"/>
      <c r="I83" s="47"/>
      <c r="J83" s="137"/>
      <c r="K83" s="137"/>
      <c r="L83" s="47"/>
      <c r="M83" s="137"/>
      <c r="N83" s="137"/>
      <c r="O83" s="250" t="s">
        <v>100</v>
      </c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2"/>
      <c r="AD83" s="42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3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5"/>
    </row>
    <row r="84" spans="1:63" ht="15" customHeight="1">
      <c r="A84" s="23"/>
      <c r="B84" s="24"/>
      <c r="D84" s="281">
        <v>3</v>
      </c>
      <c r="E84" s="43"/>
      <c r="F84" s="193" t="s">
        <v>134</v>
      </c>
      <c r="G84" s="193"/>
      <c r="H84" s="191"/>
      <c r="I84" s="47"/>
      <c r="J84" s="137"/>
      <c r="K84" s="137"/>
      <c r="L84" s="47"/>
      <c r="M84" s="137"/>
      <c r="N84" s="137"/>
      <c r="O84" s="250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2"/>
      <c r="AD84" s="42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3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5"/>
    </row>
    <row r="85" spans="1:63" ht="15" customHeight="1">
      <c r="A85" s="23"/>
      <c r="B85" s="24"/>
      <c r="D85" s="42">
        <v>4</v>
      </c>
      <c r="E85" s="43"/>
      <c r="F85" s="193" t="s">
        <v>135</v>
      </c>
      <c r="G85" s="193"/>
      <c r="H85" s="191"/>
      <c r="I85" s="47"/>
      <c r="J85" s="137"/>
      <c r="K85" s="137"/>
      <c r="L85" s="47"/>
      <c r="M85" s="137"/>
      <c r="N85" s="137"/>
      <c r="O85" s="250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2"/>
      <c r="AD85" s="42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3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5"/>
    </row>
    <row r="86" spans="1:63" ht="15" customHeight="1">
      <c r="A86" s="23"/>
      <c r="B86" s="24"/>
      <c r="D86" s="281">
        <v>5</v>
      </c>
      <c r="E86" s="43"/>
      <c r="F86" s="151" t="s">
        <v>124</v>
      </c>
      <c r="G86" s="151"/>
      <c r="H86" s="191"/>
      <c r="I86" s="47"/>
      <c r="J86" s="137"/>
      <c r="K86" s="137"/>
      <c r="L86" s="47"/>
      <c r="M86" s="137"/>
      <c r="N86" s="137"/>
      <c r="O86" s="250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2"/>
      <c r="AD86" s="42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3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5"/>
    </row>
    <row r="87" spans="1:63" ht="15" customHeight="1">
      <c r="A87" s="23"/>
      <c r="B87" s="24"/>
      <c r="D87" s="42">
        <v>6</v>
      </c>
      <c r="E87" s="43"/>
      <c r="F87" s="151" t="s">
        <v>46</v>
      </c>
      <c r="G87" s="151"/>
      <c r="H87" s="191"/>
      <c r="I87" s="47"/>
      <c r="J87" s="137"/>
      <c r="K87" s="137"/>
      <c r="L87" s="47"/>
      <c r="M87" s="137"/>
      <c r="N87" s="137"/>
      <c r="O87" s="250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2"/>
      <c r="AD87" s="42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3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5"/>
    </row>
    <row r="88" spans="1:63" ht="15" customHeight="1">
      <c r="A88" s="23"/>
      <c r="B88" s="24"/>
      <c r="D88" s="281">
        <v>7</v>
      </c>
      <c r="E88" s="43"/>
      <c r="F88" s="193" t="s">
        <v>136</v>
      </c>
      <c r="G88" s="193"/>
      <c r="H88" s="191"/>
      <c r="I88" s="47"/>
      <c r="J88" s="137"/>
      <c r="K88" s="137"/>
      <c r="L88" s="47"/>
      <c r="M88" s="137"/>
      <c r="N88" s="137"/>
      <c r="O88" s="250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2"/>
      <c r="AD88" s="42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3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5"/>
    </row>
    <row r="89" spans="1:63" ht="15" customHeight="1">
      <c r="A89" s="23"/>
      <c r="B89" s="24"/>
      <c r="D89" s="42">
        <v>8</v>
      </c>
      <c r="E89" s="43"/>
      <c r="F89" s="151" t="s">
        <v>137</v>
      </c>
      <c r="G89" s="151"/>
      <c r="H89" s="191"/>
      <c r="I89" s="47"/>
      <c r="J89" s="137"/>
      <c r="K89" s="137"/>
      <c r="L89" s="47"/>
      <c r="M89" s="137"/>
      <c r="N89" s="137"/>
      <c r="O89" s="250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2"/>
      <c r="AD89" s="42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3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5"/>
    </row>
    <row r="90" spans="1:63" ht="15.75">
      <c r="A90" s="23"/>
      <c r="B90" s="24"/>
      <c r="D90" s="281">
        <v>9</v>
      </c>
      <c r="E90" s="43"/>
      <c r="F90" s="151" t="s">
        <v>138</v>
      </c>
      <c r="G90" s="151"/>
      <c r="H90" s="191"/>
      <c r="I90" s="47"/>
      <c r="J90" s="47"/>
      <c r="K90" s="47"/>
      <c r="L90" s="47"/>
      <c r="M90" s="137"/>
      <c r="N90" s="137"/>
      <c r="O90" s="250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2"/>
      <c r="AD90" s="253"/>
      <c r="AE90" s="254"/>
      <c r="AF90" s="254"/>
      <c r="AG90" s="254"/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5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5"/>
    </row>
    <row r="91" spans="1:63" ht="15.75">
      <c r="A91" s="23"/>
      <c r="B91" s="24"/>
      <c r="D91" s="42">
        <v>10</v>
      </c>
      <c r="E91" s="43"/>
      <c r="F91" s="151" t="s">
        <v>139</v>
      </c>
      <c r="G91" s="151"/>
      <c r="H91" s="191"/>
      <c r="I91" s="47"/>
      <c r="J91" s="47"/>
      <c r="K91" s="47"/>
      <c r="L91" s="47"/>
      <c r="M91" s="137"/>
      <c r="N91" s="137"/>
      <c r="O91" s="250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2"/>
      <c r="AD91" s="253"/>
      <c r="AE91" s="254"/>
      <c r="AF91" s="254"/>
      <c r="AG91" s="254"/>
      <c r="AH91" s="254"/>
      <c r="AI91" s="254"/>
      <c r="AJ91" s="254"/>
      <c r="AK91" s="254"/>
      <c r="AL91" s="254"/>
      <c r="AM91" s="254"/>
      <c r="AN91" s="254"/>
      <c r="AO91" s="254"/>
      <c r="AP91" s="254"/>
      <c r="AQ91" s="254"/>
      <c r="AR91" s="254"/>
      <c r="AS91" s="254"/>
      <c r="AT91" s="254"/>
      <c r="AU91" s="254"/>
      <c r="AV91" s="255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5"/>
    </row>
    <row r="92" spans="1:63" ht="15" customHeight="1">
      <c r="A92" s="23"/>
      <c r="B92" s="24"/>
      <c r="D92" s="281">
        <v>11</v>
      </c>
      <c r="E92" s="43"/>
      <c r="F92" s="141" t="s">
        <v>148</v>
      </c>
      <c r="G92" s="47"/>
      <c r="H92" s="47"/>
      <c r="I92" s="47"/>
      <c r="J92" s="47"/>
      <c r="K92" s="47"/>
      <c r="L92" s="47"/>
      <c r="M92" s="137"/>
      <c r="N92" s="137"/>
      <c r="O92" s="264" t="s">
        <v>122</v>
      </c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6"/>
      <c r="AD92" s="42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3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5"/>
    </row>
    <row r="93" spans="1:63" ht="15" customHeight="1">
      <c r="A93" s="23"/>
      <c r="B93" s="24"/>
      <c r="D93" s="42">
        <v>12</v>
      </c>
      <c r="E93" s="43"/>
      <c r="F93" s="141"/>
      <c r="G93" s="151" t="s">
        <v>149</v>
      </c>
      <c r="H93" s="47"/>
      <c r="I93" s="256"/>
      <c r="J93" s="47"/>
      <c r="K93" s="47"/>
      <c r="L93" s="47"/>
      <c r="M93" s="137"/>
      <c r="N93" s="137"/>
      <c r="O93" s="250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2"/>
      <c r="AD93" s="42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3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5"/>
    </row>
    <row r="94" spans="1:63" ht="15" customHeight="1">
      <c r="A94" s="23"/>
      <c r="B94" s="24"/>
      <c r="D94" s="281">
        <v>13</v>
      </c>
      <c r="E94" s="43"/>
      <c r="F94" s="148"/>
      <c r="G94" s="151" t="s">
        <v>150</v>
      </c>
      <c r="H94" s="191"/>
      <c r="I94" s="256"/>
      <c r="J94" s="47"/>
      <c r="K94" s="47"/>
      <c r="L94" s="47"/>
      <c r="M94" s="137"/>
      <c r="N94" s="137"/>
      <c r="O94" s="250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2"/>
      <c r="AD94" s="42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3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5"/>
    </row>
    <row r="95" spans="1:63" ht="15" customHeight="1">
      <c r="A95" s="23"/>
      <c r="B95" s="24"/>
      <c r="D95" s="42">
        <v>14</v>
      </c>
      <c r="E95" s="43"/>
      <c r="F95" s="148"/>
      <c r="G95" s="192" t="s">
        <v>171</v>
      </c>
      <c r="H95" s="191"/>
      <c r="I95" s="256"/>
      <c r="J95" s="47"/>
      <c r="K95" s="47"/>
      <c r="L95" s="47"/>
      <c r="M95" s="137"/>
      <c r="N95" s="137"/>
      <c r="O95" s="250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2"/>
      <c r="AD95" s="42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3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5"/>
    </row>
    <row r="96" spans="1:63" ht="15" customHeight="1">
      <c r="A96" s="23"/>
      <c r="B96" s="24"/>
      <c r="D96" s="281">
        <v>15</v>
      </c>
      <c r="E96" s="43"/>
      <c r="F96" s="194"/>
      <c r="G96" s="192" t="s">
        <v>172</v>
      </c>
      <c r="H96" s="195"/>
      <c r="I96" s="256"/>
      <c r="J96" s="47"/>
      <c r="K96" s="47"/>
      <c r="L96" s="47"/>
      <c r="M96" s="137"/>
      <c r="N96" s="137"/>
      <c r="O96" s="250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2"/>
      <c r="AD96" s="42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3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5"/>
    </row>
    <row r="97" spans="1:63" ht="15" customHeight="1">
      <c r="A97" s="23"/>
      <c r="B97" s="24"/>
      <c r="D97" s="42">
        <v>16</v>
      </c>
      <c r="E97" s="43"/>
      <c r="F97" s="194"/>
      <c r="G97" s="192" t="s">
        <v>173</v>
      </c>
      <c r="H97" s="195"/>
      <c r="I97" s="256"/>
      <c r="J97" s="47"/>
      <c r="K97" s="47"/>
      <c r="L97" s="47"/>
      <c r="M97" s="137"/>
      <c r="N97" s="137"/>
      <c r="O97" s="257"/>
      <c r="P97" s="258"/>
      <c r="Q97" s="258"/>
      <c r="R97" s="258"/>
      <c r="S97" s="258"/>
      <c r="T97" s="258"/>
      <c r="U97" s="258"/>
      <c r="V97" s="258"/>
      <c r="W97" s="258"/>
      <c r="X97" s="258"/>
      <c r="Y97" s="258"/>
      <c r="Z97" s="258"/>
      <c r="AA97" s="258"/>
      <c r="AB97" s="258"/>
      <c r="AC97" s="259"/>
      <c r="AD97" s="42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3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5"/>
    </row>
    <row r="98" spans="1:63" ht="15" customHeight="1">
      <c r="A98" s="23"/>
      <c r="B98" s="24"/>
      <c r="D98" s="24"/>
      <c r="E98" s="260"/>
      <c r="F98" s="24"/>
      <c r="G98" s="24"/>
      <c r="H98" s="24"/>
      <c r="I98" s="260"/>
      <c r="J98" s="260"/>
      <c r="K98" s="260"/>
      <c r="L98" s="260"/>
      <c r="M98" s="2"/>
      <c r="N98" s="2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  <c r="AA98" s="261"/>
      <c r="AB98" s="261"/>
      <c r="AC98" s="261"/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  <c r="AV98" s="262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5"/>
    </row>
    <row r="99" spans="1:63" ht="15" customHeight="1">
      <c r="A99" s="23"/>
      <c r="B99" s="24"/>
      <c r="C99" s="24"/>
      <c r="D99" s="216" t="s">
        <v>112</v>
      </c>
      <c r="E99" s="16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5"/>
    </row>
    <row r="100" spans="1:63" ht="15" customHeight="1">
      <c r="A100" s="23"/>
      <c r="B100" s="24"/>
      <c r="C100" s="24"/>
      <c r="D100" s="40" t="s">
        <v>52</v>
      </c>
      <c r="E100" s="41"/>
      <c r="F100" s="40" t="s">
        <v>59</v>
      </c>
      <c r="G100" s="44"/>
      <c r="H100" s="44"/>
      <c r="I100" s="44"/>
      <c r="J100" s="64"/>
      <c r="K100" s="64"/>
      <c r="L100" s="44"/>
      <c r="M100" s="113"/>
      <c r="N100" s="113"/>
      <c r="O100" s="40" t="s">
        <v>60</v>
      </c>
      <c r="P100" s="44"/>
      <c r="Q100" s="64"/>
      <c r="R100" s="64"/>
      <c r="S100" s="44"/>
      <c r="T100" s="44"/>
      <c r="U100" s="44"/>
      <c r="V100" s="44"/>
      <c r="W100" s="44"/>
      <c r="X100" s="64"/>
      <c r="Y100" s="64"/>
      <c r="Z100" s="44"/>
      <c r="AA100" s="44"/>
      <c r="AB100" s="44"/>
      <c r="AC100" s="65"/>
      <c r="AD100" s="40" t="s">
        <v>55</v>
      </c>
      <c r="AE100" s="44"/>
      <c r="AF100" s="44"/>
      <c r="AG100" s="44"/>
      <c r="AH100" s="44"/>
      <c r="AI100" s="44"/>
      <c r="AJ100" s="44"/>
      <c r="AK100" s="44"/>
      <c r="AL100" s="44"/>
      <c r="AM100" s="44"/>
      <c r="AN100" s="48"/>
      <c r="AO100" s="48"/>
      <c r="AP100" s="48"/>
      <c r="AQ100" s="48"/>
      <c r="AR100" s="48"/>
      <c r="AS100" s="48"/>
      <c r="AT100" s="48"/>
      <c r="AU100" s="48"/>
      <c r="AV100" s="49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5"/>
    </row>
    <row r="101" spans="1:63" ht="15" customHeight="1">
      <c r="A101" s="23"/>
      <c r="B101" s="24"/>
      <c r="C101" s="24"/>
      <c r="D101" s="42">
        <v>1</v>
      </c>
      <c r="E101" s="43"/>
      <c r="F101" s="141" t="s">
        <v>168</v>
      </c>
      <c r="G101" s="47"/>
      <c r="H101" s="47"/>
      <c r="I101" s="47"/>
      <c r="J101" s="137"/>
      <c r="K101" s="137"/>
      <c r="L101" s="47"/>
      <c r="M101" s="137"/>
      <c r="N101" s="137"/>
      <c r="O101" s="299" t="s">
        <v>175</v>
      </c>
      <c r="P101" s="197"/>
      <c r="Q101" s="197"/>
      <c r="R101" s="197"/>
      <c r="S101" s="296"/>
      <c r="T101" s="197"/>
      <c r="U101" s="197"/>
      <c r="V101" s="258"/>
      <c r="W101" s="258"/>
      <c r="X101" s="258"/>
      <c r="Y101" s="258"/>
      <c r="Z101" s="258"/>
      <c r="AA101" s="258"/>
      <c r="AB101" s="258"/>
      <c r="AC101" s="259"/>
      <c r="AD101" s="42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3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5"/>
    </row>
    <row r="102" spans="1:63" ht="15" customHeight="1">
      <c r="A102" s="23"/>
      <c r="B102" s="24"/>
      <c r="C102" s="24"/>
      <c r="D102" s="42">
        <v>2</v>
      </c>
      <c r="E102" s="43"/>
      <c r="F102" s="141" t="s">
        <v>176</v>
      </c>
      <c r="G102" s="47"/>
      <c r="H102" s="47"/>
      <c r="I102" s="47"/>
      <c r="J102" s="137"/>
      <c r="K102" s="137"/>
      <c r="L102" s="47"/>
      <c r="M102" s="137"/>
      <c r="N102" s="137"/>
      <c r="O102" s="257" t="s">
        <v>203</v>
      </c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  <c r="AA102" s="258"/>
      <c r="AB102" s="258"/>
      <c r="AC102" s="259"/>
      <c r="AD102" s="42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3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5"/>
    </row>
    <row r="103" spans="1:63" ht="15" customHeight="1">
      <c r="A103" s="23"/>
      <c r="B103" s="24"/>
      <c r="C103" s="24"/>
      <c r="D103" s="164" t="s">
        <v>41</v>
      </c>
      <c r="E103" s="16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5"/>
    </row>
    <row r="104" spans="1:63" ht="15" customHeight="1">
      <c r="A104" s="26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8"/>
    </row>
  </sheetData>
  <mergeCells count="42">
    <mergeCell ref="G58:H58"/>
    <mergeCell ref="G59:H59"/>
    <mergeCell ref="G60:H60"/>
    <mergeCell ref="G61:H61"/>
    <mergeCell ref="G62:H62"/>
    <mergeCell ref="I50:X50"/>
    <mergeCell ref="Y50:AN50"/>
    <mergeCell ref="I51:X51"/>
    <mergeCell ref="Y51:AN51"/>
    <mergeCell ref="AP1:AS1"/>
    <mergeCell ref="AP2:AS3"/>
    <mergeCell ref="AP4:BK4"/>
    <mergeCell ref="Z4:AO4"/>
    <mergeCell ref="BH2:BK3"/>
    <mergeCell ref="BC2:BG3"/>
    <mergeCell ref="AY2:BB3"/>
    <mergeCell ref="AT2:AX3"/>
    <mergeCell ref="BH1:BK1"/>
    <mergeCell ref="BC1:BG1"/>
    <mergeCell ref="AY1:BB1"/>
    <mergeCell ref="AT1:AX1"/>
    <mergeCell ref="K2:V3"/>
    <mergeCell ref="A2:J3"/>
    <mergeCell ref="A4:G4"/>
    <mergeCell ref="W1:AO3"/>
    <mergeCell ref="K1:V1"/>
    <mergeCell ref="A1:J1"/>
    <mergeCell ref="U4:Y4"/>
    <mergeCell ref="H4:T4"/>
    <mergeCell ref="H21:W21"/>
    <mergeCell ref="F30:G30"/>
    <mergeCell ref="F31:G31"/>
    <mergeCell ref="F29:G29"/>
    <mergeCell ref="X21:AM21"/>
    <mergeCell ref="H22:W22"/>
    <mergeCell ref="X22:AM22"/>
    <mergeCell ref="F37:G37"/>
    <mergeCell ref="F32:G32"/>
    <mergeCell ref="F33:G33"/>
    <mergeCell ref="F36:G36"/>
    <mergeCell ref="F34:G34"/>
    <mergeCell ref="F35:G35"/>
  </mergeCells>
  <phoneticPr fontId="20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K27"/>
  <sheetViews>
    <sheetView showGridLines="0" view="pageBreakPreview" zoomScaleNormal="75" zoomScaleSheetLayoutView="100" workbookViewId="0">
      <selection sqref="A1:J1"/>
    </sheetView>
  </sheetViews>
  <sheetFormatPr defaultColWidth="3.77734375" defaultRowHeight="18" customHeight="1"/>
  <cols>
    <col min="1" max="1" width="2.77734375" style="1" customWidth="1"/>
    <col min="2" max="2" width="2.77734375" style="6" customWidth="1"/>
    <col min="3" max="63" width="2.77734375" style="1" customWidth="1"/>
    <col min="64" max="64" width="3.77734375" style="1" customWidth="1"/>
    <col min="65" max="16384" width="3.77734375" style="1"/>
  </cols>
  <sheetData>
    <row r="1" spans="1:63" ht="24.95" customHeight="1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20"/>
      <c r="K1" s="318" t="s">
        <v>26</v>
      </c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30" t="str">
        <f>IF(Bìa!W1="","",Bìa!W1)</f>
        <v>TKCB</v>
      </c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2"/>
      <c r="AP1" s="318" t="s">
        <v>18</v>
      </c>
      <c r="AQ1" s="319"/>
      <c r="AR1" s="319"/>
      <c r="AS1" s="320"/>
      <c r="AT1" s="318" t="s">
        <v>19</v>
      </c>
      <c r="AU1" s="319"/>
      <c r="AV1" s="319"/>
      <c r="AW1" s="319"/>
      <c r="AX1" s="320"/>
      <c r="AY1" s="318" t="s">
        <v>20</v>
      </c>
      <c r="AZ1" s="319"/>
      <c r="BA1" s="319"/>
      <c r="BB1" s="320"/>
      <c r="BC1" s="318" t="s">
        <v>21</v>
      </c>
      <c r="BD1" s="319"/>
      <c r="BE1" s="319"/>
      <c r="BF1" s="319"/>
      <c r="BG1" s="320"/>
      <c r="BH1" s="318" t="s">
        <v>2</v>
      </c>
      <c r="BI1" s="319"/>
      <c r="BJ1" s="319"/>
      <c r="BK1" s="320"/>
    </row>
    <row r="2" spans="1:63" ht="15" customHeight="1">
      <c r="A2" s="309" t="str">
        <f>IF(Bìa!A2="","",Bìa!A2)</f>
        <v>Manager User</v>
      </c>
      <c r="B2" s="310"/>
      <c r="C2" s="310"/>
      <c r="D2" s="310"/>
      <c r="E2" s="310"/>
      <c r="F2" s="310"/>
      <c r="G2" s="310"/>
      <c r="H2" s="310"/>
      <c r="I2" s="310"/>
      <c r="J2" s="311"/>
      <c r="K2" s="309" t="str">
        <f>IF(Bìa!K2="","",Bìa!K2)</f>
        <v>Thiết kế API</v>
      </c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1"/>
      <c r="W2" s="333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09" t="str">
        <f>IF(Bìa!AP2="","",Bìa!AP2)</f>
        <v>ThanhPD</v>
      </c>
      <c r="AQ2" s="310"/>
      <c r="AR2" s="310"/>
      <c r="AS2" s="311"/>
      <c r="AT2" s="321">
        <f>IF(Bìa!AT2="","",Bìa!AT2)</f>
        <v>44930</v>
      </c>
      <c r="AU2" s="322"/>
      <c r="AV2" s="322"/>
      <c r="AW2" s="322"/>
      <c r="AX2" s="323"/>
      <c r="AY2" s="309" t="str">
        <f>IF(Bìa!AY2="","",Bìa!AY2)</f>
        <v>ThanhPD</v>
      </c>
      <c r="AZ2" s="310"/>
      <c r="BA2" s="310"/>
      <c r="BB2" s="311"/>
      <c r="BC2" s="321">
        <f>IF(Bìa!BC2="","",Bìa!BC2)</f>
        <v>44930</v>
      </c>
      <c r="BD2" s="322"/>
      <c r="BE2" s="322"/>
      <c r="BF2" s="322"/>
      <c r="BG2" s="323"/>
      <c r="BH2" s="309">
        <f>IF(Bìa!BH2="","",Bìa!BH2)</f>
        <v>0.1</v>
      </c>
      <c r="BI2" s="310"/>
      <c r="BJ2" s="310"/>
      <c r="BK2" s="311"/>
    </row>
    <row r="3" spans="1:63" ht="15" customHeight="1">
      <c r="A3" s="315"/>
      <c r="B3" s="316"/>
      <c r="C3" s="316"/>
      <c r="D3" s="316"/>
      <c r="E3" s="316"/>
      <c r="F3" s="316"/>
      <c r="G3" s="316"/>
      <c r="H3" s="316"/>
      <c r="I3" s="316"/>
      <c r="J3" s="317"/>
      <c r="K3" s="315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7"/>
      <c r="W3" s="336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8"/>
      <c r="AP3" s="315"/>
      <c r="AQ3" s="316"/>
      <c r="AR3" s="316"/>
      <c r="AS3" s="317"/>
      <c r="AT3" s="324"/>
      <c r="AU3" s="325"/>
      <c r="AV3" s="325"/>
      <c r="AW3" s="325"/>
      <c r="AX3" s="326"/>
      <c r="AY3" s="315"/>
      <c r="AZ3" s="316"/>
      <c r="BA3" s="316"/>
      <c r="BB3" s="317"/>
      <c r="BC3" s="324"/>
      <c r="BD3" s="325"/>
      <c r="BE3" s="325"/>
      <c r="BF3" s="325"/>
      <c r="BG3" s="326"/>
      <c r="BH3" s="315"/>
      <c r="BI3" s="316"/>
      <c r="BJ3" s="316"/>
      <c r="BK3" s="317"/>
    </row>
    <row r="4" spans="1:63" ht="24.95" customHeight="1">
      <c r="A4" s="318" t="s">
        <v>17</v>
      </c>
      <c r="B4" s="319"/>
      <c r="C4" s="319"/>
      <c r="D4" s="319"/>
      <c r="E4" s="319"/>
      <c r="F4" s="319"/>
      <c r="G4" s="320"/>
      <c r="H4" s="339" t="str">
        <f>IF(Bìa!H4="","",Bìa!H4)</f>
        <v/>
      </c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1"/>
      <c r="U4" s="318" t="s">
        <v>22</v>
      </c>
      <c r="V4" s="319"/>
      <c r="W4" s="319"/>
      <c r="X4" s="319"/>
      <c r="Y4" s="320"/>
      <c r="Z4" s="339" t="str">
        <f>IF(Bìa!Z4="","",Bìa!Z4)</f>
        <v>Get employee</v>
      </c>
      <c r="AA4" s="340"/>
      <c r="AB4" s="340"/>
      <c r="AC4" s="340"/>
      <c r="AD4" s="340"/>
      <c r="AE4" s="340"/>
      <c r="AF4" s="340"/>
      <c r="AG4" s="340"/>
      <c r="AH4" s="340"/>
      <c r="AI4" s="340"/>
      <c r="AJ4" s="340"/>
      <c r="AK4" s="340"/>
      <c r="AL4" s="340"/>
      <c r="AM4" s="340"/>
      <c r="AN4" s="340"/>
      <c r="AO4" s="341"/>
      <c r="AP4" s="342" t="s">
        <v>65</v>
      </c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  <c r="BB4" s="340"/>
      <c r="BC4" s="340"/>
      <c r="BD4" s="340"/>
      <c r="BE4" s="340"/>
      <c r="BF4" s="340"/>
      <c r="BG4" s="340"/>
      <c r="BH4" s="340"/>
      <c r="BI4" s="340"/>
      <c r="BJ4" s="340"/>
      <c r="BK4" s="341"/>
    </row>
    <row r="5" spans="1:63" ht="5.099999999999999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2"/>
    </row>
    <row r="6" spans="1:63" ht="15" customHeight="1">
      <c r="A6" s="23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5"/>
    </row>
    <row r="7" spans="1:63" ht="15" customHeight="1">
      <c r="A7" s="23"/>
      <c r="B7" s="130"/>
      <c r="C7" s="142" t="s">
        <v>66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30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5"/>
    </row>
    <row r="8" spans="1:63" ht="15" customHeight="1">
      <c r="A8" s="23"/>
      <c r="B8" s="130"/>
      <c r="C8" s="142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30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5"/>
    </row>
    <row r="9" spans="1:63" ht="15" customHeight="1">
      <c r="A9" s="23"/>
      <c r="B9" s="130"/>
      <c r="C9" s="145"/>
      <c r="D9" s="581" t="s">
        <v>67</v>
      </c>
      <c r="E9" s="582"/>
      <c r="F9" s="581" t="s">
        <v>68</v>
      </c>
      <c r="G9" s="583"/>
      <c r="H9" s="583"/>
      <c r="I9" s="583"/>
      <c r="J9" s="583"/>
      <c r="K9" s="583"/>
      <c r="L9" s="584" t="s">
        <v>69</v>
      </c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  <c r="AA9" s="584"/>
      <c r="AB9" s="584"/>
      <c r="AC9" s="584"/>
      <c r="AD9" s="584"/>
      <c r="AE9" s="584"/>
      <c r="AF9" s="584"/>
      <c r="AG9" s="584"/>
      <c r="AH9" s="584"/>
      <c r="AI9" s="584"/>
      <c r="AJ9" s="584"/>
      <c r="AK9" s="584"/>
      <c r="AL9" s="584"/>
      <c r="AM9" s="584"/>
      <c r="AN9" s="584"/>
      <c r="AO9" s="584"/>
      <c r="AP9" s="584"/>
      <c r="AQ9" s="584"/>
      <c r="AR9" s="584"/>
      <c r="AS9" s="584"/>
      <c r="AT9" s="130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5"/>
    </row>
    <row r="10" spans="1:63" ht="15" customHeight="1">
      <c r="A10" s="23"/>
      <c r="B10" s="130"/>
      <c r="C10" s="144"/>
      <c r="D10" s="585"/>
      <c r="E10" s="586"/>
      <c r="F10" s="587"/>
      <c r="G10" s="588"/>
      <c r="H10" s="588"/>
      <c r="I10" s="588"/>
      <c r="J10" s="588"/>
      <c r="K10" s="589"/>
      <c r="L10" s="590"/>
      <c r="M10" s="591"/>
      <c r="N10" s="591"/>
      <c r="O10" s="591"/>
      <c r="P10" s="591"/>
      <c r="Q10" s="591"/>
      <c r="R10" s="591"/>
      <c r="S10" s="591"/>
      <c r="T10" s="591"/>
      <c r="U10" s="591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1"/>
      <c r="AG10" s="591"/>
      <c r="AH10" s="591"/>
      <c r="AI10" s="591"/>
      <c r="AJ10" s="591"/>
      <c r="AK10" s="591"/>
      <c r="AL10" s="591"/>
      <c r="AM10" s="591"/>
      <c r="AN10" s="591"/>
      <c r="AO10" s="591"/>
      <c r="AP10" s="591"/>
      <c r="AQ10" s="591"/>
      <c r="AR10" s="591"/>
      <c r="AS10" s="592"/>
      <c r="AT10" s="130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/>
    </row>
    <row r="11" spans="1:63" ht="15" customHeight="1">
      <c r="A11" s="23"/>
      <c r="B11" s="130"/>
      <c r="C11" s="144"/>
      <c r="D11" s="573"/>
      <c r="E11" s="574"/>
      <c r="F11" s="575"/>
      <c r="G11" s="576"/>
      <c r="H11" s="576"/>
      <c r="I11" s="576"/>
      <c r="J11" s="576"/>
      <c r="K11" s="577"/>
      <c r="L11" s="578"/>
      <c r="M11" s="579"/>
      <c r="N11" s="579"/>
      <c r="O11" s="579"/>
      <c r="P11" s="579"/>
      <c r="Q11" s="579"/>
      <c r="R11" s="579"/>
      <c r="S11" s="579"/>
      <c r="T11" s="579"/>
      <c r="U11" s="579"/>
      <c r="V11" s="579"/>
      <c r="W11" s="579"/>
      <c r="X11" s="579"/>
      <c r="Y11" s="579"/>
      <c r="Z11" s="579"/>
      <c r="AA11" s="579"/>
      <c r="AB11" s="579"/>
      <c r="AC11" s="579"/>
      <c r="AD11" s="579"/>
      <c r="AE11" s="579"/>
      <c r="AF11" s="579"/>
      <c r="AG11" s="579"/>
      <c r="AH11" s="579"/>
      <c r="AI11" s="579"/>
      <c r="AJ11" s="579"/>
      <c r="AK11" s="579"/>
      <c r="AL11" s="579"/>
      <c r="AM11" s="579"/>
      <c r="AN11" s="579"/>
      <c r="AO11" s="579"/>
      <c r="AP11" s="579"/>
      <c r="AQ11" s="579"/>
      <c r="AR11" s="579"/>
      <c r="AS11" s="580"/>
      <c r="AT11" s="130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/>
    </row>
    <row r="12" spans="1:63" ht="15" customHeight="1">
      <c r="A12" s="23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/>
    </row>
    <row r="13" spans="1:63" ht="15" customHeight="1">
      <c r="A13" s="23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/>
    </row>
    <row r="14" spans="1:63" ht="15" customHeight="1">
      <c r="A14" s="23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</row>
    <row r="15" spans="1:63" ht="15" customHeight="1">
      <c r="A15" s="23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/>
    </row>
    <row r="16" spans="1:63" ht="15" customHeight="1">
      <c r="A16" s="23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/>
    </row>
    <row r="17" spans="1:63" ht="15" customHeight="1">
      <c r="A17" s="23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</row>
    <row r="18" spans="1:63" ht="15" customHeight="1">
      <c r="A18" s="23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</row>
    <row r="19" spans="1:63" ht="15" customHeight="1">
      <c r="A19" s="23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/>
    </row>
    <row r="20" spans="1:63" ht="15" customHeight="1">
      <c r="A20" s="23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/>
    </row>
    <row r="21" spans="1:63" ht="15" customHeight="1">
      <c r="A21" s="23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/>
    </row>
    <row r="22" spans="1:63" ht="15" customHeight="1">
      <c r="A22" s="23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/>
    </row>
    <row r="23" spans="1:63" ht="15" customHeight="1">
      <c r="A23" s="23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5"/>
    </row>
    <row r="24" spans="1:63" ht="15" customHeight="1">
      <c r="A24" s="23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5"/>
    </row>
    <row r="25" spans="1:63" ht="15" customHeight="1">
      <c r="A25" s="23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5"/>
    </row>
    <row r="26" spans="1:63" ht="15" customHeight="1">
      <c r="A26" s="23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5"/>
    </row>
    <row r="27" spans="1:63" ht="1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8"/>
    </row>
  </sheetData>
  <mergeCells count="29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D11:E11"/>
    <mergeCell ref="F11:K11"/>
    <mergeCell ref="L11:AS11"/>
    <mergeCell ref="D9:E9"/>
    <mergeCell ref="F9:K9"/>
    <mergeCell ref="L9:AS9"/>
    <mergeCell ref="D10:E10"/>
    <mergeCell ref="F10:K10"/>
    <mergeCell ref="L10:AS10"/>
  </mergeCells>
  <phoneticPr fontId="56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Bìa</vt:lpstr>
      <vt:lpstr>Lịch sử thay đổi</vt:lpstr>
      <vt:lpstr>Khái quát</vt:lpstr>
      <vt:lpstr>Flow xử lý</vt:lpstr>
      <vt:lpstr>Chi tiết xử lý</vt:lpstr>
      <vt:lpstr>Tham chiếu</vt:lpstr>
      <vt:lpstr>Bìa!Print_Area</vt:lpstr>
      <vt:lpstr>'Chi tiết xử lý'!Print_Area</vt:lpstr>
      <vt:lpstr>'Flow xử lý'!Print_Area</vt:lpstr>
      <vt:lpstr>'Khái quát'!Print_Area</vt:lpstr>
      <vt:lpstr>'Lịch sử thay đổi'!Print_Area</vt:lpstr>
      <vt:lpstr>'Tham chiếu'!Print_Area</vt:lpstr>
      <vt:lpstr>Bìa!Print_Titles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Viet Hung</dc:creator>
  <cp:keywords/>
  <dc:description/>
  <cp:lastModifiedBy>Le Nghiem Thanh Thuy</cp:lastModifiedBy>
  <cp:lastPrinted>2019-10-22T18:12:02Z</cp:lastPrinted>
  <dcterms:created xsi:type="dcterms:W3CDTF">2018-06-27T16:17:55Z</dcterms:created>
  <dcterms:modified xsi:type="dcterms:W3CDTF">2023-02-22T08:19:35Z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eadcb6dd-8d16-4e7e-8371-f45e70dab206</vt:lpwstr>
  </property>
</Properties>
</file>